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filterPrivacy="1" defaultThemeVersion="124226"/>
  <xr:revisionPtr revIDLastSave="29" documentId="13_ncr:1_{7D9DDEF2-4E2F-4F4A-A931-A52FA3015FE0}" xr6:coauthVersionLast="47" xr6:coauthVersionMax="47" xr10:uidLastSave="{F5795570-7AA9-3A49-B9C4-F72DC2DAD53D}"/>
  <bookViews>
    <workbookView xWindow="0" yWindow="0" windowWidth="28800" windowHeight="18000" activeTab="4" xr2:uid="{00000000-000D-0000-FFFF-FFFF00000000}"/>
  </bookViews>
  <sheets>
    <sheet name="PRODUCTOS ENVASE" sheetId="6" r:id="rId1"/>
    <sheet name="FW1A" sheetId="5" r:id="rId2"/>
    <sheet name="SHE" sheetId="4" r:id="rId3"/>
    <sheet name="Hoja1" sheetId="1" r:id="rId4"/>
    <sheet name="Hoja2" sheetId="7" r:id="rId5"/>
  </sheets>
  <definedNames>
    <definedName name="_xlnm._FilterDatabase" localSheetId="3" hidden="1">Hoja1!$A$551:$B$2280</definedName>
    <definedName name="BU_colon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6" l="1"/>
  <c r="D40" i="6"/>
  <c r="B40" i="6"/>
  <c r="D32" i="6"/>
  <c r="C32" i="6"/>
  <c r="B32" i="6"/>
  <c r="I12" i="6"/>
  <c r="N12" i="6"/>
  <c r="N11" i="6"/>
  <c r="N13" i="6" s="1"/>
  <c r="N17" i="6" s="1"/>
  <c r="N10" i="6"/>
  <c r="N9" i="6"/>
  <c r="N8" i="6"/>
  <c r="I11" i="6"/>
  <c r="I10" i="6"/>
  <c r="I9" i="6"/>
  <c r="I8" i="6"/>
  <c r="I13" i="6" s="1"/>
  <c r="I17" i="6" s="1"/>
  <c r="D9" i="6"/>
  <c r="D10" i="6"/>
  <c r="D11" i="6"/>
  <c r="D12" i="6"/>
  <c r="D8" i="6"/>
  <c r="I6" i="6"/>
  <c r="N6" i="6"/>
  <c r="P6" i="6"/>
  <c r="Q6" i="6"/>
  <c r="R6" i="6"/>
  <c r="D6" i="6"/>
  <c r="D13" i="6" l="1"/>
  <c r="D17" i="6" s="1"/>
</calcChain>
</file>

<file path=xl/sharedStrings.xml><?xml version="1.0" encoding="utf-8"?>
<sst xmlns="http://schemas.openxmlformats.org/spreadsheetml/2006/main" count="460" uniqueCount="136">
  <si>
    <t>Líquido  Biodegradable jabón shampoo bacteriostático en espuma para el lavado de manos de personal con residuos de suciedad y mugre base triclosán Alta espuma</t>
  </si>
  <si>
    <t>standart</t>
  </si>
  <si>
    <t>Pera</t>
  </si>
  <si>
    <t>1029</t>
  </si>
  <si>
    <t>SHE2423 RD 1029</t>
  </si>
  <si>
    <t>Cítrico</t>
  </si>
  <si>
    <t>1028</t>
  </si>
  <si>
    <t>SHE2524 RD 1028</t>
  </si>
  <si>
    <t>Lavanda</t>
  </si>
  <si>
    <t>1026</t>
  </si>
  <si>
    <t>SHE2625 RD 1026</t>
  </si>
  <si>
    <t>Vainilla</t>
  </si>
  <si>
    <t>1023</t>
  </si>
  <si>
    <t>SHE2726 RD 1023</t>
  </si>
  <si>
    <t>Jazmin</t>
  </si>
  <si>
    <t>1022</t>
  </si>
  <si>
    <t>SHE2827 RD 1022</t>
  </si>
  <si>
    <t>sin aroma</t>
  </si>
  <si>
    <t>1019</t>
  </si>
  <si>
    <t>SHE2928 RD 1019</t>
  </si>
  <si>
    <t>Piña</t>
  </si>
  <si>
    <t>930</t>
  </si>
  <si>
    <t>SHE2029 RD 930</t>
  </si>
  <si>
    <t>Mora</t>
  </si>
  <si>
    <t>922</t>
  </si>
  <si>
    <t>SHE2120 RD 922</t>
  </si>
  <si>
    <t>Frutal</t>
  </si>
  <si>
    <t>908</t>
  </si>
  <si>
    <t>SHE2221 RD 908</t>
  </si>
  <si>
    <t>Chicle</t>
  </si>
  <si>
    <t>802</t>
  </si>
  <si>
    <t>SHE2322 RD 802</t>
  </si>
  <si>
    <t>Descripción</t>
  </si>
  <si>
    <t>Categoria</t>
  </si>
  <si>
    <t>Aroma</t>
  </si>
  <si>
    <t>Densidad</t>
  </si>
  <si>
    <t>Suma</t>
  </si>
  <si>
    <t>Clave</t>
  </si>
  <si>
    <t>Producto</t>
  </si>
  <si>
    <t>IDNOMBREPRODUCTO</t>
  </si>
  <si>
    <t/>
  </si>
  <si>
    <t>brisas marinas</t>
  </si>
  <si>
    <t>977</t>
  </si>
  <si>
    <t>FW1A 112 RD 977</t>
  </si>
  <si>
    <t>lima &amp; frutal</t>
  </si>
  <si>
    <t>950</t>
  </si>
  <si>
    <t>FW1A 213 RD 950</t>
  </si>
  <si>
    <t>Premium</t>
  </si>
  <si>
    <t>864</t>
  </si>
  <si>
    <t>FW1A 910 RD 864</t>
  </si>
  <si>
    <t>manzana verde</t>
  </si>
  <si>
    <t>565</t>
  </si>
  <si>
    <t>FW1A 617 RD 565</t>
  </si>
  <si>
    <t>floral &amp; green</t>
  </si>
  <si>
    <t>369</t>
  </si>
  <si>
    <t>FW1A 415 RD 369</t>
  </si>
  <si>
    <t>floral &amp; frutal cítrica</t>
  </si>
  <si>
    <t>259</t>
  </si>
  <si>
    <t>FW1A 516 RD 259</t>
  </si>
  <si>
    <t>SIN AROMA</t>
  </si>
  <si>
    <t>258</t>
  </si>
  <si>
    <t>FW1A 011 RD 258</t>
  </si>
  <si>
    <t>frescura &amp; floral</t>
  </si>
  <si>
    <t>174</t>
  </si>
  <si>
    <t>FW1A 718 RD 174</t>
  </si>
  <si>
    <t>lavanda &amp; herbal</t>
  </si>
  <si>
    <t>164</t>
  </si>
  <si>
    <t>FW1A 314 RD 164</t>
  </si>
  <si>
    <t>150</t>
  </si>
  <si>
    <t>FW1A 819 RD150</t>
  </si>
  <si>
    <t>Desengrasante desinfectante removedor de residuos de grasa corporal, jabón, moho y mugre base peroxido de hidrógeno, alta espuma</t>
  </si>
  <si>
    <t>Desincrustante, desengrasante residuos calcareos (sarro) para superficies duras, cerámicas, metálicas y plásticas no tóxico</t>
  </si>
  <si>
    <t>Desengrasante desinfectante oxigenado y aceite de pino removedor de residuos de grasa corporal, jabón, moho y mugre base peróxido de hidrógeno libre de fosfatos</t>
  </si>
  <si>
    <t>Botella</t>
  </si>
  <si>
    <t>Etiqueta</t>
  </si>
  <si>
    <t>Tapa</t>
  </si>
  <si>
    <t>Caja</t>
  </si>
  <si>
    <t>Manos</t>
  </si>
  <si>
    <t>Cuerpo</t>
  </si>
  <si>
    <t>Cabello</t>
  </si>
  <si>
    <t>M.obra</t>
  </si>
  <si>
    <t>M. prima</t>
  </si>
  <si>
    <t>LESS</t>
  </si>
  <si>
    <t>BETAINA</t>
  </si>
  <si>
    <t>COCO 85</t>
  </si>
  <si>
    <t>LESA</t>
  </si>
  <si>
    <t>S30</t>
  </si>
  <si>
    <t>T20</t>
  </si>
  <si>
    <t>TRIETA</t>
  </si>
  <si>
    <t>TRICLOSAN</t>
  </si>
  <si>
    <t>COAMIN</t>
  </si>
  <si>
    <t>N 70</t>
  </si>
  <si>
    <t>Etiquetado</t>
  </si>
  <si>
    <t>Envasado</t>
  </si>
  <si>
    <t>Producción</t>
  </si>
  <si>
    <t>Llenado</t>
  </si>
  <si>
    <t>Total</t>
  </si>
  <si>
    <t>Sub Total</t>
  </si>
  <si>
    <t>Envase</t>
  </si>
  <si>
    <t>PARIDAD</t>
  </si>
  <si>
    <t>tapa</t>
  </si>
  <si>
    <t>etiquetado</t>
  </si>
  <si>
    <t>Empaque 1°</t>
  </si>
  <si>
    <t>Embalaje</t>
  </si>
  <si>
    <t>Tarima Kg</t>
  </si>
  <si>
    <t>Embalaje Kg</t>
  </si>
  <si>
    <t>Publicidad</t>
  </si>
  <si>
    <t>Publicidad / Lt</t>
  </si>
  <si>
    <t>IVISA / Lt</t>
  </si>
  <si>
    <t>IVISA</t>
  </si>
  <si>
    <t>Asociado</t>
  </si>
  <si>
    <t>Asociado / Lt</t>
  </si>
  <si>
    <t>Supervición</t>
  </si>
  <si>
    <t>Supervisión / Lt</t>
  </si>
  <si>
    <t>Operaciones</t>
  </si>
  <si>
    <t>Operaciones / lt</t>
  </si>
  <si>
    <t>Mantenimiento</t>
  </si>
  <si>
    <t>Mantto / Lt</t>
  </si>
  <si>
    <t>Equipamiento</t>
  </si>
  <si>
    <t>Equipamiento / Lt</t>
  </si>
  <si>
    <t>Traslados</t>
  </si>
  <si>
    <t>Traslados / Lt</t>
  </si>
  <si>
    <t>Administrativos</t>
  </si>
  <si>
    <t>Administrativos / Lt</t>
  </si>
  <si>
    <t>Operativos</t>
  </si>
  <si>
    <t>Operativos / Lt</t>
  </si>
  <si>
    <t>PRORRATEABLES</t>
  </si>
  <si>
    <t>4 lts a 57 lts</t>
  </si>
  <si>
    <t>60 lts a 239.4 lts</t>
  </si>
  <si>
    <t>240 lts a 497.8 lts</t>
  </si>
  <si>
    <t>500 lts a 748.6 lts</t>
  </si>
  <si>
    <t>750 lts a 999.4 lts</t>
  </si>
  <si>
    <t>1,000 lts a 1,500 lts</t>
  </si>
  <si>
    <t>STANDART</t>
  </si>
  <si>
    <t>GENÉRICO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</si>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</sst>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[$$-80A]#,##0.000;[Red]\-[$$-80A]#,##0.00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theme="0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0.59999389629810485"/>
        <bgColor indexed="0"/>
      </patternFill>
    </fill>
    <fill>
      <patternFill patternType="solid">
        <fgColor indexed="22"/>
        <bgColor indexed="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6" fillId="3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6" fillId="4" borderId="3" xfId="1" applyFont="1" applyFill="1" applyBorder="1" applyAlignment="1">
      <alignment horizontal="center"/>
    </xf>
    <xf numFmtId="165" fontId="8" fillId="5" borderId="0" xfId="0" applyNumberFormat="1" applyFont="1" applyFill="1"/>
    <xf numFmtId="0" fontId="7" fillId="0" borderId="0" xfId="1" applyFont="1" applyAlignment="1">
      <alignment vertical="center" wrapText="1"/>
    </xf>
    <xf numFmtId="165" fontId="8" fillId="6" borderId="0" xfId="0" applyNumberFormat="1" applyFont="1" applyFill="1"/>
    <xf numFmtId="165" fontId="8" fillId="7" borderId="0" xfId="0" applyNumberFormat="1" applyFont="1" applyFill="1"/>
    <xf numFmtId="165" fontId="4" fillId="5" borderId="0" xfId="0" applyNumberFormat="1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6" fillId="3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_Hoja3" xfId="1" xr:uid="{82D2B60B-79B5-4F52-A51B-4B7C51952F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482A-290D-4DE5-89D5-8C1DABB17E39}">
  <dimension ref="A1:R40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10.33203125" bestFit="1" customWidth="1"/>
    <col min="2" max="2" width="9" bestFit="1" customWidth="1"/>
    <col min="3" max="3" width="9" customWidth="1"/>
    <col min="4" max="4" width="9" bestFit="1" customWidth="1"/>
    <col min="5" max="8" width="9" customWidth="1"/>
    <col min="9" max="9" width="7.1640625" bestFit="1" customWidth="1"/>
    <col min="10" max="10" width="7.1640625" customWidth="1"/>
    <col min="11" max="11" width="8.33203125" bestFit="1" customWidth="1"/>
    <col min="12" max="13" width="7.1640625" customWidth="1"/>
    <col min="14" max="14" width="7.5" bestFit="1" customWidth="1"/>
    <col min="16" max="16" width="6.6640625" bestFit="1" customWidth="1"/>
    <col min="17" max="17" width="7.1640625" bestFit="1" customWidth="1"/>
    <col min="18" max="18" width="7.5" bestFit="1" customWidth="1"/>
  </cols>
  <sheetData>
    <row r="1" spans="1:18" x14ac:dyDescent="0.2">
      <c r="D1" t="s">
        <v>77</v>
      </c>
      <c r="I1" t="s">
        <v>78</v>
      </c>
      <c r="N1" t="s">
        <v>79</v>
      </c>
      <c r="P1" t="s">
        <v>77</v>
      </c>
      <c r="Q1" t="s">
        <v>78</v>
      </c>
      <c r="R1" t="s">
        <v>79</v>
      </c>
    </row>
    <row r="2" spans="1:18" x14ac:dyDescent="0.2">
      <c r="A2" t="s">
        <v>73</v>
      </c>
      <c r="D2" s="6">
        <v>4.53</v>
      </c>
      <c r="E2" s="6"/>
      <c r="F2" s="6"/>
      <c r="G2" s="6"/>
      <c r="H2" s="6"/>
      <c r="I2" s="6">
        <v>4.53</v>
      </c>
      <c r="J2" s="6"/>
      <c r="K2" s="6"/>
      <c r="L2" s="6"/>
      <c r="M2" s="6"/>
      <c r="N2" s="6">
        <v>4.53</v>
      </c>
      <c r="P2" s="6">
        <v>4.37</v>
      </c>
      <c r="Q2" s="6">
        <v>4.37</v>
      </c>
      <c r="R2" s="6">
        <v>4.37</v>
      </c>
    </row>
    <row r="3" spans="1:18" x14ac:dyDescent="0.2">
      <c r="A3" t="s">
        <v>75</v>
      </c>
      <c r="D3" s="6">
        <v>2.78</v>
      </c>
      <c r="E3" s="6"/>
      <c r="F3" s="6"/>
      <c r="G3" s="6"/>
      <c r="H3" s="6"/>
      <c r="I3" s="6">
        <v>1.17</v>
      </c>
      <c r="J3" s="6"/>
      <c r="K3" s="6"/>
      <c r="L3" s="6"/>
      <c r="M3" s="6"/>
      <c r="N3" s="6">
        <v>1.17</v>
      </c>
      <c r="P3" s="6">
        <v>2.78</v>
      </c>
      <c r="Q3" s="6">
        <v>1.17</v>
      </c>
      <c r="R3" s="6">
        <v>1.17</v>
      </c>
    </row>
    <row r="4" spans="1:18" x14ac:dyDescent="0.2">
      <c r="A4" t="s">
        <v>74</v>
      </c>
      <c r="D4" s="6">
        <v>1</v>
      </c>
      <c r="E4" s="6"/>
      <c r="F4" s="6"/>
      <c r="G4" s="6"/>
      <c r="H4" s="6"/>
      <c r="I4" s="6">
        <v>1</v>
      </c>
      <c r="J4" s="6"/>
      <c r="K4" s="6"/>
      <c r="L4" s="6"/>
      <c r="M4" s="6"/>
      <c r="N4" s="6">
        <v>1</v>
      </c>
      <c r="O4" s="6"/>
      <c r="P4" s="6">
        <v>1</v>
      </c>
      <c r="Q4" s="6">
        <v>1</v>
      </c>
      <c r="R4" s="6">
        <v>1</v>
      </c>
    </row>
    <row r="5" spans="1:18" x14ac:dyDescent="0.2">
      <c r="A5" t="s">
        <v>76</v>
      </c>
      <c r="D5" s="6">
        <v>3.7</v>
      </c>
      <c r="E5" s="6"/>
      <c r="F5" s="6"/>
      <c r="G5" s="6"/>
      <c r="H5" s="6"/>
      <c r="I5" s="6">
        <v>3.7</v>
      </c>
      <c r="J5" s="6"/>
      <c r="K5" s="6"/>
      <c r="L5" s="6"/>
      <c r="M5" s="6"/>
      <c r="N5" s="6">
        <v>3.7</v>
      </c>
      <c r="O5" s="6"/>
      <c r="P5" s="6">
        <v>3.7</v>
      </c>
      <c r="Q5" s="6">
        <v>3.7</v>
      </c>
      <c r="R5" s="6">
        <v>3.7</v>
      </c>
    </row>
    <row r="6" spans="1:18" x14ac:dyDescent="0.2">
      <c r="D6" s="6">
        <f>SUM(D2:D5)</f>
        <v>12.010000000000002</v>
      </c>
      <c r="E6" s="6"/>
      <c r="F6" s="6"/>
      <c r="G6" s="6"/>
      <c r="H6" s="6"/>
      <c r="I6" s="6">
        <f t="shared" ref="I6:R6" si="0">SUM(I2:I5)</f>
        <v>10.4</v>
      </c>
      <c r="J6" s="6"/>
      <c r="K6" s="6"/>
      <c r="L6" s="6"/>
      <c r="M6" s="6"/>
      <c r="N6" s="6">
        <f t="shared" si="0"/>
        <v>10.4</v>
      </c>
      <c r="O6" s="6"/>
      <c r="P6" s="6">
        <f t="shared" si="0"/>
        <v>11.850000000000001</v>
      </c>
      <c r="Q6" s="6">
        <f t="shared" si="0"/>
        <v>10.24</v>
      </c>
      <c r="R6" s="6">
        <f t="shared" si="0"/>
        <v>10.24</v>
      </c>
    </row>
    <row r="7" spans="1:18" x14ac:dyDescent="0.2">
      <c r="A7" t="s">
        <v>81</v>
      </c>
      <c r="D7" s="6"/>
      <c r="E7" s="6"/>
      <c r="F7" t="s">
        <v>81</v>
      </c>
      <c r="G7" s="6"/>
      <c r="H7" s="6"/>
      <c r="I7" s="6"/>
      <c r="J7" s="6"/>
      <c r="K7" t="s">
        <v>81</v>
      </c>
      <c r="L7" s="6"/>
      <c r="M7" s="6"/>
      <c r="N7" s="6"/>
      <c r="P7" s="6"/>
      <c r="Q7" s="6"/>
      <c r="R7" s="6"/>
    </row>
    <row r="8" spans="1:18" x14ac:dyDescent="0.2">
      <c r="A8" t="s">
        <v>82</v>
      </c>
      <c r="B8" s="6">
        <v>19</v>
      </c>
      <c r="C8" s="7">
        <v>10</v>
      </c>
      <c r="D8" s="6">
        <f>(B8*C8)/200</f>
        <v>0.95</v>
      </c>
      <c r="E8" s="6"/>
      <c r="F8" t="s">
        <v>85</v>
      </c>
      <c r="G8" s="6">
        <v>37</v>
      </c>
      <c r="H8" s="7">
        <v>10</v>
      </c>
      <c r="I8" s="6">
        <f>(G8*H8)/200</f>
        <v>1.85</v>
      </c>
      <c r="J8" s="6"/>
      <c r="K8" t="s">
        <v>85</v>
      </c>
      <c r="L8" s="6">
        <v>37</v>
      </c>
      <c r="M8" s="7">
        <v>10</v>
      </c>
      <c r="N8" s="6">
        <f>(L8*M8)/200</f>
        <v>1.85</v>
      </c>
      <c r="P8" s="6"/>
      <c r="Q8" s="6"/>
      <c r="R8" s="6"/>
    </row>
    <row r="9" spans="1:18" x14ac:dyDescent="0.2">
      <c r="A9" t="s">
        <v>83</v>
      </c>
      <c r="B9" s="6">
        <v>32.1</v>
      </c>
      <c r="C9" s="7">
        <v>6</v>
      </c>
      <c r="D9" s="6">
        <f>(B9*C9)/200</f>
        <v>0.96300000000000008</v>
      </c>
      <c r="F9" t="s">
        <v>86</v>
      </c>
      <c r="G9" s="6">
        <v>35</v>
      </c>
      <c r="H9" s="7">
        <v>6</v>
      </c>
      <c r="I9" s="6">
        <f>(G9*H9)/200</f>
        <v>1.05</v>
      </c>
      <c r="J9" s="6"/>
      <c r="K9" t="s">
        <v>86</v>
      </c>
      <c r="L9" s="6">
        <v>35</v>
      </c>
      <c r="M9" s="7">
        <v>6</v>
      </c>
      <c r="N9" s="6">
        <f>(L9*M9)/200</f>
        <v>1.05</v>
      </c>
      <c r="P9" s="6"/>
      <c r="Q9" s="6"/>
      <c r="R9" s="6"/>
    </row>
    <row r="10" spans="1:18" x14ac:dyDescent="0.2">
      <c r="A10" t="s">
        <v>84</v>
      </c>
      <c r="B10" s="6">
        <v>61.73</v>
      </c>
      <c r="C10" s="7">
        <v>4</v>
      </c>
      <c r="D10" s="6">
        <f>(B10*C10)/200</f>
        <v>1.2345999999999999</v>
      </c>
      <c r="F10" t="s">
        <v>87</v>
      </c>
      <c r="G10" s="6">
        <v>64.260000000000005</v>
      </c>
      <c r="H10" s="7">
        <v>4</v>
      </c>
      <c r="I10" s="6">
        <f>(G10*H10)/200</f>
        <v>1.2852000000000001</v>
      </c>
      <c r="J10" s="6"/>
      <c r="K10" t="s">
        <v>87</v>
      </c>
      <c r="L10" s="6">
        <v>64.260000000000005</v>
      </c>
      <c r="M10" s="7">
        <v>4</v>
      </c>
      <c r="N10" s="6">
        <f>(L10*M10)/200</f>
        <v>1.2852000000000001</v>
      </c>
      <c r="P10" s="6"/>
      <c r="Q10" s="6"/>
      <c r="R10" s="6"/>
    </row>
    <row r="11" spans="1:18" x14ac:dyDescent="0.2">
      <c r="A11" t="s">
        <v>88</v>
      </c>
      <c r="B11" s="6">
        <v>45.5</v>
      </c>
      <c r="C11" s="7">
        <v>2</v>
      </c>
      <c r="D11" s="6">
        <f>(B11*C11)/200</f>
        <v>0.45500000000000002</v>
      </c>
      <c r="F11" t="s">
        <v>88</v>
      </c>
      <c r="G11" s="6">
        <v>45.5</v>
      </c>
      <c r="H11" s="7">
        <v>2</v>
      </c>
      <c r="I11" s="6">
        <f>(G11*H11)/200</f>
        <v>0.45500000000000002</v>
      </c>
      <c r="J11" s="6"/>
      <c r="K11" t="s">
        <v>88</v>
      </c>
      <c r="L11" s="6">
        <v>45.5</v>
      </c>
      <c r="M11" s="7">
        <v>2</v>
      </c>
      <c r="N11" s="6">
        <f>(L11*M11)/200</f>
        <v>0.45500000000000002</v>
      </c>
    </row>
    <row r="12" spans="1:18" x14ac:dyDescent="0.2">
      <c r="A12" t="s">
        <v>89</v>
      </c>
      <c r="B12" s="6">
        <v>1170</v>
      </c>
      <c r="C12" s="7">
        <v>0.15</v>
      </c>
      <c r="D12" s="6">
        <f>(B12*C12)/200</f>
        <v>0.87749999999999995</v>
      </c>
      <c r="F12" t="s">
        <v>91</v>
      </c>
      <c r="G12" s="6">
        <v>39</v>
      </c>
      <c r="H12" s="7">
        <v>4</v>
      </c>
      <c r="I12" s="6">
        <f>(G12*H12)/200</f>
        <v>0.78</v>
      </c>
      <c r="J12" s="6"/>
      <c r="K12" t="s">
        <v>90</v>
      </c>
      <c r="L12" s="6">
        <v>61.73</v>
      </c>
      <c r="M12" s="7">
        <v>2.5</v>
      </c>
      <c r="N12" s="6">
        <f>(L12*M12)/200</f>
        <v>0.77162499999999989</v>
      </c>
    </row>
    <row r="13" spans="1:18" x14ac:dyDescent="0.2">
      <c r="C13" s="7"/>
      <c r="D13" s="6">
        <f>SUM(D8:D12)</f>
        <v>4.4801000000000002</v>
      </c>
      <c r="I13" s="6">
        <f>SUM(I8:I12)</f>
        <v>5.4202000000000004</v>
      </c>
      <c r="J13" s="6"/>
      <c r="K13" s="6"/>
      <c r="L13" s="6"/>
      <c r="M13" s="6"/>
      <c r="N13" s="6">
        <f>SUM(N8:N12)</f>
        <v>5.4118250000000003</v>
      </c>
    </row>
    <row r="14" spans="1:18" x14ac:dyDescent="0.2">
      <c r="I14" s="6"/>
      <c r="J14" s="6"/>
      <c r="K14" s="6"/>
      <c r="L14" s="6"/>
      <c r="M14" s="6"/>
      <c r="N14" s="6"/>
    </row>
    <row r="15" spans="1:18" x14ac:dyDescent="0.2"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8" x14ac:dyDescent="0.2">
      <c r="A16" t="s">
        <v>80</v>
      </c>
      <c r="D16">
        <v>6</v>
      </c>
      <c r="I16">
        <v>6</v>
      </c>
      <c r="N16">
        <v>6</v>
      </c>
    </row>
    <row r="17" spans="1:14" x14ac:dyDescent="0.2">
      <c r="D17" s="6">
        <f>D13+D16</f>
        <v>10.4801</v>
      </c>
      <c r="I17" s="6">
        <f>I13+I16</f>
        <v>11.420200000000001</v>
      </c>
      <c r="N17" s="6">
        <f>N13+N16</f>
        <v>11.411825</v>
      </c>
    </row>
    <row r="18" spans="1:14" x14ac:dyDescent="0.2">
      <c r="A18" t="s">
        <v>81</v>
      </c>
    </row>
    <row r="19" spans="1:14" x14ac:dyDescent="0.2">
      <c r="A19" t="s">
        <v>94</v>
      </c>
    </row>
    <row r="20" spans="1:14" x14ac:dyDescent="0.2">
      <c r="A20" t="s">
        <v>92</v>
      </c>
    </row>
    <row r="21" spans="1:14" x14ac:dyDescent="0.2">
      <c r="A21" t="s">
        <v>95</v>
      </c>
    </row>
    <row r="22" spans="1:14" x14ac:dyDescent="0.2">
      <c r="A22" t="s">
        <v>93</v>
      </c>
    </row>
    <row r="23" spans="1:14" x14ac:dyDescent="0.2">
      <c r="D23" s="6">
        <v>10.5</v>
      </c>
      <c r="I23" s="6">
        <v>12.5</v>
      </c>
      <c r="N23" s="6">
        <v>14.5</v>
      </c>
    </row>
    <row r="27" spans="1:14" x14ac:dyDescent="0.2">
      <c r="B27" s="8" t="s">
        <v>77</v>
      </c>
      <c r="C27" s="8" t="s">
        <v>78</v>
      </c>
      <c r="D27" s="8" t="s">
        <v>79</v>
      </c>
    </row>
    <row r="28" spans="1:14" x14ac:dyDescent="0.2">
      <c r="A28" t="s">
        <v>73</v>
      </c>
      <c r="B28" s="6">
        <v>4.53</v>
      </c>
      <c r="C28" s="6">
        <v>4.53</v>
      </c>
      <c r="D28" s="6">
        <v>4.53</v>
      </c>
    </row>
    <row r="29" spans="1:14" x14ac:dyDescent="0.2">
      <c r="A29" t="s">
        <v>75</v>
      </c>
      <c r="B29" s="6">
        <v>2.78</v>
      </c>
      <c r="C29" s="6">
        <v>1.17</v>
      </c>
      <c r="D29" s="6">
        <v>1.17</v>
      </c>
    </row>
    <row r="30" spans="1:14" x14ac:dyDescent="0.2">
      <c r="A30" t="s">
        <v>74</v>
      </c>
      <c r="B30" s="6">
        <v>1</v>
      </c>
      <c r="C30" s="6">
        <v>1</v>
      </c>
      <c r="D30" s="6">
        <v>1</v>
      </c>
    </row>
    <row r="31" spans="1:14" x14ac:dyDescent="0.2">
      <c r="A31" t="s">
        <v>76</v>
      </c>
      <c r="B31" s="6">
        <v>3.7</v>
      </c>
      <c r="C31" s="6">
        <v>3.7</v>
      </c>
      <c r="D31" s="6">
        <v>3.7</v>
      </c>
    </row>
    <row r="32" spans="1:14" x14ac:dyDescent="0.2">
      <c r="A32" t="s">
        <v>97</v>
      </c>
      <c r="B32" s="6">
        <f>SUM(B28:B31)</f>
        <v>12.010000000000002</v>
      </c>
      <c r="C32" s="6">
        <f t="shared" ref="C32:D32" si="1">SUM(C28:C31)</f>
        <v>10.4</v>
      </c>
      <c r="D32" s="6">
        <f t="shared" si="1"/>
        <v>10.4</v>
      </c>
    </row>
    <row r="34" spans="1:4" x14ac:dyDescent="0.2">
      <c r="A34" t="s">
        <v>81</v>
      </c>
      <c r="B34" s="17">
        <v>10.5</v>
      </c>
      <c r="C34" s="17">
        <v>12.5</v>
      </c>
      <c r="D34" s="17">
        <v>14.5</v>
      </c>
    </row>
    <row r="35" spans="1:4" x14ac:dyDescent="0.2">
      <c r="A35" t="s">
        <v>94</v>
      </c>
      <c r="B35" s="17"/>
      <c r="C35" s="17"/>
      <c r="D35" s="17"/>
    </row>
    <row r="36" spans="1:4" x14ac:dyDescent="0.2">
      <c r="A36" t="s">
        <v>92</v>
      </c>
      <c r="B36" s="17"/>
      <c r="C36" s="17"/>
      <c r="D36" s="17"/>
    </row>
    <row r="37" spans="1:4" x14ac:dyDescent="0.2">
      <c r="A37" t="s">
        <v>95</v>
      </c>
      <c r="B37" s="17"/>
      <c r="C37" s="17"/>
      <c r="D37" s="17"/>
    </row>
    <row r="38" spans="1:4" x14ac:dyDescent="0.2">
      <c r="A38" t="s">
        <v>93</v>
      </c>
      <c r="B38" s="17"/>
      <c r="C38" s="17"/>
      <c r="D38" s="17"/>
    </row>
    <row r="40" spans="1:4" x14ac:dyDescent="0.2">
      <c r="A40" t="s">
        <v>96</v>
      </c>
      <c r="B40" s="6">
        <f>B32+B34</f>
        <v>22.51</v>
      </c>
      <c r="C40" s="6">
        <f t="shared" ref="C40:D40" si="2">C32+C34</f>
        <v>22.9</v>
      </c>
      <c r="D40" s="6">
        <f t="shared" si="2"/>
        <v>24.9</v>
      </c>
    </row>
  </sheetData>
  <mergeCells count="3">
    <mergeCell ref="B34:B38"/>
    <mergeCell ref="C34:C38"/>
    <mergeCell ref="D34:D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4451-B14B-40C5-9A78-CEECEF4642DF}">
  <dimension ref="A1:H21"/>
  <sheetViews>
    <sheetView workbookViewId="0">
      <selection activeCell="H40" sqref="H40"/>
    </sheetView>
  </sheetViews>
  <sheetFormatPr baseColWidth="10" defaultColWidth="8.83203125" defaultRowHeight="15" x14ac:dyDescent="0.2"/>
  <cols>
    <col min="1" max="1" width="19.33203125" bestFit="1" customWidth="1"/>
    <col min="2" max="2" width="15.1640625" bestFit="1" customWidth="1"/>
    <col min="3" max="3" width="5.1640625" bestFit="1" customWidth="1"/>
    <col min="4" max="4" width="5.33203125" bestFit="1" customWidth="1"/>
    <col min="5" max="5" width="8.33203125" bestFit="1" customWidth="1"/>
    <col min="6" max="6" width="17.1640625" bestFit="1" customWidth="1"/>
    <col min="7" max="7" width="8.5" bestFit="1" customWidth="1"/>
    <col min="8" max="8" width="131.1640625" bestFit="1" customWidth="1"/>
  </cols>
  <sheetData>
    <row r="1" spans="1:8" x14ac:dyDescent="0.2">
      <c r="A1" s="5"/>
      <c r="B1" s="5" t="s">
        <v>38</v>
      </c>
      <c r="C1" s="5" t="s">
        <v>37</v>
      </c>
      <c r="D1" s="5" t="s">
        <v>36</v>
      </c>
      <c r="E1" s="5" t="s">
        <v>35</v>
      </c>
      <c r="F1" s="5" t="s">
        <v>34</v>
      </c>
      <c r="G1" s="5" t="s">
        <v>33</v>
      </c>
      <c r="H1" s="5" t="s">
        <v>32</v>
      </c>
    </row>
    <row r="2" spans="1:8" x14ac:dyDescent="0.2">
      <c r="A2" s="4"/>
      <c r="B2" s="2" t="s">
        <v>69</v>
      </c>
      <c r="C2" s="2" t="s">
        <v>68</v>
      </c>
      <c r="D2" s="4">
        <v>1</v>
      </c>
      <c r="F2" s="2" t="s">
        <v>40</v>
      </c>
      <c r="G2" s="2" t="s">
        <v>1</v>
      </c>
      <c r="H2" s="2" t="s">
        <v>72</v>
      </c>
    </row>
    <row r="3" spans="1:8" x14ac:dyDescent="0.2">
      <c r="A3" s="4"/>
      <c r="B3" s="2" t="s">
        <v>67</v>
      </c>
      <c r="C3" s="2" t="s">
        <v>66</v>
      </c>
      <c r="D3" s="4">
        <v>1</v>
      </c>
      <c r="F3" s="2" t="s">
        <v>65</v>
      </c>
      <c r="G3" s="2" t="s">
        <v>1</v>
      </c>
      <c r="H3" s="2" t="s">
        <v>70</v>
      </c>
    </row>
    <row r="4" spans="1:8" x14ac:dyDescent="0.2">
      <c r="A4" s="4"/>
      <c r="B4" s="2" t="s">
        <v>64</v>
      </c>
      <c r="C4" s="2" t="s">
        <v>63</v>
      </c>
      <c r="D4" s="4">
        <v>1</v>
      </c>
      <c r="F4" s="2" t="s">
        <v>62</v>
      </c>
      <c r="G4" s="2" t="s">
        <v>1</v>
      </c>
      <c r="H4" s="2" t="s">
        <v>70</v>
      </c>
    </row>
    <row r="5" spans="1:8" x14ac:dyDescent="0.2">
      <c r="A5" s="4"/>
      <c r="B5" s="2" t="s">
        <v>61</v>
      </c>
      <c r="C5" s="2" t="s">
        <v>60</v>
      </c>
      <c r="D5" s="4">
        <v>1</v>
      </c>
      <c r="F5" s="2" t="s">
        <v>59</v>
      </c>
      <c r="G5" s="2" t="s">
        <v>1</v>
      </c>
      <c r="H5" s="2" t="s">
        <v>70</v>
      </c>
    </row>
    <row r="6" spans="1:8" x14ac:dyDescent="0.2">
      <c r="A6" s="4"/>
      <c r="B6" s="2" t="s">
        <v>58</v>
      </c>
      <c r="C6" s="2" t="s">
        <v>57</v>
      </c>
      <c r="D6" s="4">
        <v>1</v>
      </c>
      <c r="F6" s="2" t="s">
        <v>56</v>
      </c>
      <c r="G6" s="2" t="s">
        <v>1</v>
      </c>
      <c r="H6" s="2" t="s">
        <v>70</v>
      </c>
    </row>
    <row r="7" spans="1:8" x14ac:dyDescent="0.2">
      <c r="A7" s="4"/>
      <c r="B7" s="2" t="s">
        <v>55</v>
      </c>
      <c r="C7" s="2" t="s">
        <v>54</v>
      </c>
      <c r="D7" s="4">
        <v>1</v>
      </c>
      <c r="F7" s="2" t="s">
        <v>53</v>
      </c>
      <c r="G7" s="2" t="s">
        <v>1</v>
      </c>
      <c r="H7" s="2" t="s">
        <v>70</v>
      </c>
    </row>
    <row r="8" spans="1:8" x14ac:dyDescent="0.2">
      <c r="A8" s="4"/>
      <c r="B8" s="2" t="s">
        <v>52</v>
      </c>
      <c r="C8" s="2" t="s">
        <v>51</v>
      </c>
      <c r="D8" s="4">
        <v>1</v>
      </c>
      <c r="F8" s="2" t="s">
        <v>50</v>
      </c>
      <c r="G8" s="2" t="s">
        <v>1</v>
      </c>
      <c r="H8" s="2" t="s">
        <v>70</v>
      </c>
    </row>
    <row r="9" spans="1:8" x14ac:dyDescent="0.2">
      <c r="A9" s="4"/>
      <c r="B9" s="2" t="s">
        <v>49</v>
      </c>
      <c r="C9" s="2" t="s">
        <v>48</v>
      </c>
      <c r="D9" s="4">
        <v>1</v>
      </c>
      <c r="F9" s="2" t="s">
        <v>40</v>
      </c>
      <c r="G9" s="2" t="s">
        <v>47</v>
      </c>
      <c r="H9" s="2" t="s">
        <v>71</v>
      </c>
    </row>
    <row r="10" spans="1:8" x14ac:dyDescent="0.2">
      <c r="A10" s="4"/>
      <c r="B10" s="2" t="s">
        <v>46</v>
      </c>
      <c r="C10" s="2" t="s">
        <v>45</v>
      </c>
      <c r="D10" s="4">
        <v>1</v>
      </c>
      <c r="F10" s="2" t="s">
        <v>44</v>
      </c>
      <c r="G10" s="2" t="s">
        <v>1</v>
      </c>
      <c r="H10" s="2" t="s">
        <v>70</v>
      </c>
    </row>
    <row r="11" spans="1:8" x14ac:dyDescent="0.2">
      <c r="A11" s="4"/>
      <c r="B11" s="2" t="s">
        <v>43</v>
      </c>
      <c r="C11" s="2" t="s">
        <v>42</v>
      </c>
      <c r="D11" s="4">
        <v>1</v>
      </c>
      <c r="F11" s="2" t="s">
        <v>41</v>
      </c>
      <c r="G11" s="2" t="s">
        <v>1</v>
      </c>
      <c r="H11" s="2" t="s">
        <v>70</v>
      </c>
    </row>
    <row r="12" spans="1:8" x14ac:dyDescent="0.2">
      <c r="A12" s="4"/>
      <c r="B12" s="2" t="s">
        <v>31</v>
      </c>
      <c r="C12" s="2" t="s">
        <v>30</v>
      </c>
      <c r="D12" s="4">
        <v>1</v>
      </c>
      <c r="E12" s="3">
        <v>1.01</v>
      </c>
      <c r="F12" s="2" t="s">
        <v>29</v>
      </c>
      <c r="G12" s="2" t="s">
        <v>1</v>
      </c>
      <c r="H12" s="2" t="s">
        <v>0</v>
      </c>
    </row>
    <row r="13" spans="1:8" x14ac:dyDescent="0.2">
      <c r="A13" s="4"/>
      <c r="B13" s="2" t="s">
        <v>28</v>
      </c>
      <c r="C13" s="2" t="s">
        <v>27</v>
      </c>
      <c r="D13" s="4">
        <v>1</v>
      </c>
      <c r="E13" s="3">
        <v>1.01</v>
      </c>
      <c r="F13" s="2" t="s">
        <v>26</v>
      </c>
      <c r="G13" s="2" t="s">
        <v>1</v>
      </c>
      <c r="H13" s="2" t="s">
        <v>0</v>
      </c>
    </row>
    <row r="14" spans="1:8" x14ac:dyDescent="0.2">
      <c r="A14" s="4"/>
      <c r="B14" s="2" t="s">
        <v>25</v>
      </c>
      <c r="C14" s="2" t="s">
        <v>24</v>
      </c>
      <c r="D14" s="4">
        <v>1</v>
      </c>
      <c r="E14" s="3">
        <v>1.01</v>
      </c>
      <c r="F14" s="2" t="s">
        <v>23</v>
      </c>
      <c r="G14" s="2" t="s">
        <v>1</v>
      </c>
      <c r="H14" s="2" t="s">
        <v>0</v>
      </c>
    </row>
    <row r="15" spans="1:8" x14ac:dyDescent="0.2">
      <c r="A15" s="4"/>
      <c r="B15" s="2" t="s">
        <v>22</v>
      </c>
      <c r="C15" s="2" t="s">
        <v>21</v>
      </c>
      <c r="D15" s="4">
        <v>1</v>
      </c>
      <c r="E15" s="3">
        <v>1.01</v>
      </c>
      <c r="F15" s="2" t="s">
        <v>20</v>
      </c>
      <c r="G15" s="2" t="s">
        <v>1</v>
      </c>
      <c r="H15" s="2" t="s">
        <v>0</v>
      </c>
    </row>
    <row r="16" spans="1:8" x14ac:dyDescent="0.2">
      <c r="A16" s="4"/>
      <c r="B16" s="2" t="s">
        <v>19</v>
      </c>
      <c r="C16" s="2" t="s">
        <v>18</v>
      </c>
      <c r="D16" s="4">
        <v>1</v>
      </c>
      <c r="E16" s="3">
        <v>1.01</v>
      </c>
      <c r="F16" s="2" t="s">
        <v>17</v>
      </c>
      <c r="G16" s="2" t="s">
        <v>1</v>
      </c>
      <c r="H16" s="2" t="s">
        <v>0</v>
      </c>
    </row>
    <row r="17" spans="1:8" x14ac:dyDescent="0.2">
      <c r="A17" s="4"/>
      <c r="B17" s="2" t="s">
        <v>16</v>
      </c>
      <c r="C17" s="2" t="s">
        <v>15</v>
      </c>
      <c r="D17" s="4">
        <v>1</v>
      </c>
      <c r="E17" s="3">
        <v>1.01</v>
      </c>
      <c r="F17" s="2" t="s">
        <v>14</v>
      </c>
      <c r="G17" s="2" t="s">
        <v>1</v>
      </c>
      <c r="H17" s="2" t="s">
        <v>0</v>
      </c>
    </row>
    <row r="18" spans="1:8" x14ac:dyDescent="0.2">
      <c r="A18" s="4"/>
      <c r="B18" s="2" t="s">
        <v>13</v>
      </c>
      <c r="C18" s="2" t="s">
        <v>12</v>
      </c>
      <c r="D18" s="4">
        <v>1</v>
      </c>
      <c r="E18" s="3">
        <v>1.01</v>
      </c>
      <c r="F18" s="2" t="s">
        <v>11</v>
      </c>
      <c r="G18" s="2" t="s">
        <v>1</v>
      </c>
      <c r="H18" s="2" t="s">
        <v>0</v>
      </c>
    </row>
    <row r="19" spans="1:8" x14ac:dyDescent="0.2">
      <c r="A19" s="4"/>
      <c r="B19" s="2" t="s">
        <v>10</v>
      </c>
      <c r="C19" s="2" t="s">
        <v>9</v>
      </c>
      <c r="D19" s="4">
        <v>1</v>
      </c>
      <c r="E19" s="3">
        <v>1.01</v>
      </c>
      <c r="F19" s="2" t="s">
        <v>8</v>
      </c>
      <c r="G19" s="2" t="s">
        <v>1</v>
      </c>
      <c r="H19" s="2" t="s">
        <v>0</v>
      </c>
    </row>
    <row r="20" spans="1:8" x14ac:dyDescent="0.2">
      <c r="A20" s="4"/>
      <c r="B20" s="2" t="s">
        <v>7</v>
      </c>
      <c r="C20" s="2" t="s">
        <v>6</v>
      </c>
      <c r="D20" s="4">
        <v>1</v>
      </c>
      <c r="E20" s="3">
        <v>1.01</v>
      </c>
      <c r="F20" s="2" t="s">
        <v>5</v>
      </c>
      <c r="G20" s="2" t="s">
        <v>1</v>
      </c>
      <c r="H20" s="2" t="s">
        <v>0</v>
      </c>
    </row>
    <row r="21" spans="1:8" x14ac:dyDescent="0.2">
      <c r="A21" s="4"/>
      <c r="B21" s="2" t="s">
        <v>4</v>
      </c>
      <c r="C21" s="2" t="s">
        <v>3</v>
      </c>
      <c r="D21" s="4">
        <v>1</v>
      </c>
      <c r="E21" s="3">
        <v>1.01</v>
      </c>
      <c r="F21" s="2" t="s">
        <v>2</v>
      </c>
      <c r="G21" s="2" t="s">
        <v>1</v>
      </c>
      <c r="H2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8B44-44D7-4CAF-B851-C52CC1816897}">
  <dimension ref="A1:H11"/>
  <sheetViews>
    <sheetView workbookViewId="0">
      <selection sqref="A1:XFD11"/>
    </sheetView>
  </sheetViews>
  <sheetFormatPr baseColWidth="10" defaultColWidth="8.83203125" defaultRowHeight="15" x14ac:dyDescent="0.2"/>
  <cols>
    <col min="1" max="1" width="19.33203125" bestFit="1" customWidth="1"/>
    <col min="2" max="2" width="15" bestFit="1" customWidth="1"/>
    <col min="3" max="3" width="5.1640625" bestFit="1" customWidth="1"/>
    <col min="4" max="4" width="5.33203125" bestFit="1" customWidth="1"/>
    <col min="5" max="5" width="8.33203125" bestFit="1" customWidth="1"/>
    <col min="6" max="6" width="8.83203125" bestFit="1" customWidth="1"/>
    <col min="7" max="7" width="8.5" bestFit="1" customWidth="1"/>
    <col min="8" max="8" width="131.1640625" bestFit="1" customWidth="1"/>
  </cols>
  <sheetData>
    <row r="1" spans="1:8" x14ac:dyDescent="0.2">
      <c r="A1" s="5" t="s">
        <v>39</v>
      </c>
      <c r="B1" s="5" t="s">
        <v>38</v>
      </c>
      <c r="C1" s="5" t="s">
        <v>37</v>
      </c>
      <c r="D1" s="5" t="s">
        <v>36</v>
      </c>
      <c r="E1" s="5" t="s">
        <v>35</v>
      </c>
      <c r="F1" s="5" t="s">
        <v>34</v>
      </c>
      <c r="G1" s="5" t="s">
        <v>33</v>
      </c>
      <c r="H1" s="5" t="s">
        <v>32</v>
      </c>
    </row>
    <row r="2" spans="1:8" x14ac:dyDescent="0.2">
      <c r="A2" s="4">
        <v>265</v>
      </c>
      <c r="B2" s="2" t="s">
        <v>31</v>
      </c>
      <c r="C2" s="2" t="s">
        <v>30</v>
      </c>
      <c r="D2" s="4">
        <v>1</v>
      </c>
      <c r="E2" s="3">
        <v>1.01</v>
      </c>
      <c r="F2" s="2" t="s">
        <v>29</v>
      </c>
      <c r="G2" s="2" t="s">
        <v>1</v>
      </c>
      <c r="H2" s="2" t="s">
        <v>0</v>
      </c>
    </row>
    <row r="3" spans="1:8" x14ac:dyDescent="0.2">
      <c r="A3" s="4">
        <v>343</v>
      </c>
      <c r="B3" s="2" t="s">
        <v>28</v>
      </c>
      <c r="C3" s="2" t="s">
        <v>27</v>
      </c>
      <c r="D3" s="4">
        <v>1</v>
      </c>
      <c r="E3" s="3">
        <v>1.01</v>
      </c>
      <c r="F3" s="2" t="s">
        <v>26</v>
      </c>
      <c r="G3" s="2" t="s">
        <v>1</v>
      </c>
      <c r="H3" s="2" t="s">
        <v>0</v>
      </c>
    </row>
    <row r="4" spans="1:8" x14ac:dyDescent="0.2">
      <c r="A4" s="4">
        <v>346</v>
      </c>
      <c r="B4" s="2" t="s">
        <v>25</v>
      </c>
      <c r="C4" s="2" t="s">
        <v>24</v>
      </c>
      <c r="D4" s="4">
        <v>1</v>
      </c>
      <c r="E4" s="3">
        <v>1.01</v>
      </c>
      <c r="F4" s="2" t="s">
        <v>23</v>
      </c>
      <c r="G4" s="2" t="s">
        <v>1</v>
      </c>
      <c r="H4" s="2" t="s">
        <v>0</v>
      </c>
    </row>
    <row r="5" spans="1:8" x14ac:dyDescent="0.2">
      <c r="A5" s="4">
        <v>349</v>
      </c>
      <c r="B5" s="2" t="s">
        <v>22</v>
      </c>
      <c r="C5" s="2" t="s">
        <v>21</v>
      </c>
      <c r="D5" s="4">
        <v>1</v>
      </c>
      <c r="E5" s="3">
        <v>1.01</v>
      </c>
      <c r="F5" s="2" t="s">
        <v>20</v>
      </c>
      <c r="G5" s="2" t="s">
        <v>1</v>
      </c>
      <c r="H5" s="2" t="s">
        <v>0</v>
      </c>
    </row>
    <row r="6" spans="1:8" x14ac:dyDescent="0.2">
      <c r="A6" s="4">
        <v>372</v>
      </c>
      <c r="B6" s="2" t="s">
        <v>19</v>
      </c>
      <c r="C6" s="2" t="s">
        <v>18</v>
      </c>
      <c r="D6" s="4">
        <v>1</v>
      </c>
      <c r="E6" s="3">
        <v>1.01</v>
      </c>
      <c r="F6" s="2" t="s">
        <v>17</v>
      </c>
      <c r="G6" s="2" t="s">
        <v>1</v>
      </c>
      <c r="H6" s="2" t="s">
        <v>0</v>
      </c>
    </row>
    <row r="7" spans="1:8" x14ac:dyDescent="0.2">
      <c r="A7" s="4">
        <v>373</v>
      </c>
      <c r="B7" s="2" t="s">
        <v>16</v>
      </c>
      <c r="C7" s="2" t="s">
        <v>15</v>
      </c>
      <c r="D7" s="4">
        <v>1</v>
      </c>
      <c r="E7" s="3">
        <v>1.01</v>
      </c>
      <c r="F7" s="2" t="s">
        <v>14</v>
      </c>
      <c r="G7" s="2" t="s">
        <v>1</v>
      </c>
      <c r="H7" s="2" t="s">
        <v>0</v>
      </c>
    </row>
    <row r="8" spans="1:8" x14ac:dyDescent="0.2">
      <c r="A8" s="4">
        <v>374</v>
      </c>
      <c r="B8" s="2" t="s">
        <v>13</v>
      </c>
      <c r="C8" s="2" t="s">
        <v>12</v>
      </c>
      <c r="D8" s="4">
        <v>1</v>
      </c>
      <c r="E8" s="3">
        <v>1.01</v>
      </c>
      <c r="F8" s="2" t="s">
        <v>11</v>
      </c>
      <c r="G8" s="2" t="s">
        <v>1</v>
      </c>
      <c r="H8" s="2" t="s">
        <v>0</v>
      </c>
    </row>
    <row r="9" spans="1:8" x14ac:dyDescent="0.2">
      <c r="A9" s="4">
        <v>375</v>
      </c>
      <c r="B9" s="2" t="s">
        <v>10</v>
      </c>
      <c r="C9" s="2" t="s">
        <v>9</v>
      </c>
      <c r="D9" s="4">
        <v>1</v>
      </c>
      <c r="E9" s="3">
        <v>1.01</v>
      </c>
      <c r="F9" s="2" t="s">
        <v>8</v>
      </c>
      <c r="G9" s="2" t="s">
        <v>1</v>
      </c>
      <c r="H9" s="2" t="s">
        <v>0</v>
      </c>
    </row>
    <row r="10" spans="1:8" x14ac:dyDescent="0.2">
      <c r="A10" s="4">
        <v>376</v>
      </c>
      <c r="B10" s="2" t="s">
        <v>7</v>
      </c>
      <c r="C10" s="2" t="s">
        <v>6</v>
      </c>
      <c r="D10" s="4">
        <v>1</v>
      </c>
      <c r="E10" s="3">
        <v>1.01</v>
      </c>
      <c r="F10" s="2" t="s">
        <v>5</v>
      </c>
      <c r="G10" s="2" t="s">
        <v>1</v>
      </c>
      <c r="H10" s="2" t="s">
        <v>0</v>
      </c>
    </row>
    <row r="11" spans="1:8" x14ac:dyDescent="0.2">
      <c r="A11" s="4">
        <v>377</v>
      </c>
      <c r="B11" s="2" t="s">
        <v>4</v>
      </c>
      <c r="C11" s="2" t="s">
        <v>3</v>
      </c>
      <c r="D11" s="4">
        <v>1</v>
      </c>
      <c r="E11" s="3">
        <v>1.01</v>
      </c>
      <c r="F11" s="2" t="s">
        <v>2</v>
      </c>
      <c r="G11" s="2" t="s">
        <v>1</v>
      </c>
      <c r="H11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07"/>
  <sheetViews>
    <sheetView workbookViewId="0">
      <selection activeCell="B38" sqref="B38"/>
    </sheetView>
  </sheetViews>
  <sheetFormatPr baseColWidth="10" defaultRowHeight="15" x14ac:dyDescent="0.2"/>
  <cols>
    <col min="1" max="1" width="19.33203125" bestFit="1" customWidth="1"/>
    <col min="2" max="2" width="15" bestFit="1" customWidth="1"/>
    <col min="3" max="3" width="5.1640625" bestFit="1" customWidth="1"/>
    <col min="4" max="4" width="5.33203125" bestFit="1" customWidth="1"/>
    <col min="5" max="5" width="8.33203125" bestFit="1" customWidth="1"/>
    <col min="6" max="6" width="8.83203125" bestFit="1" customWidth="1"/>
    <col min="7" max="7" width="8.5" bestFit="1" customWidth="1"/>
    <col min="8" max="8" width="131.1640625" bestFit="1" customWidth="1"/>
  </cols>
  <sheetData>
    <row r="1" spans="1:8" x14ac:dyDescent="0.2">
      <c r="A1" s="5" t="s">
        <v>39</v>
      </c>
      <c r="B1" s="5" t="s">
        <v>38</v>
      </c>
      <c r="C1" s="5" t="s">
        <v>37</v>
      </c>
      <c r="D1" s="5" t="s">
        <v>36</v>
      </c>
      <c r="E1" s="5" t="s">
        <v>35</v>
      </c>
      <c r="F1" s="5" t="s">
        <v>34</v>
      </c>
      <c r="G1" s="5" t="s">
        <v>33</v>
      </c>
      <c r="H1" s="5" t="s">
        <v>32</v>
      </c>
    </row>
    <row r="2" spans="1:8" x14ac:dyDescent="0.2">
      <c r="A2" s="4">
        <v>265</v>
      </c>
      <c r="B2" s="2" t="s">
        <v>31</v>
      </c>
      <c r="C2" s="2" t="s">
        <v>30</v>
      </c>
      <c r="D2" s="4">
        <v>1</v>
      </c>
      <c r="E2" s="3">
        <v>1.01</v>
      </c>
      <c r="F2" s="2" t="s">
        <v>29</v>
      </c>
      <c r="G2" s="2" t="s">
        <v>1</v>
      </c>
      <c r="H2" s="2" t="s">
        <v>0</v>
      </c>
    </row>
    <row r="3" spans="1:8" x14ac:dyDescent="0.2">
      <c r="A3" s="4">
        <v>343</v>
      </c>
      <c r="B3" s="2" t="s">
        <v>28</v>
      </c>
      <c r="C3" s="2" t="s">
        <v>27</v>
      </c>
      <c r="D3" s="4">
        <v>1</v>
      </c>
      <c r="E3" s="3">
        <v>1.01</v>
      </c>
      <c r="F3" s="2" t="s">
        <v>26</v>
      </c>
      <c r="G3" s="2" t="s">
        <v>1</v>
      </c>
      <c r="H3" s="2" t="s">
        <v>0</v>
      </c>
    </row>
    <row r="4" spans="1:8" x14ac:dyDescent="0.2">
      <c r="A4" s="4">
        <v>346</v>
      </c>
      <c r="B4" s="2" t="s">
        <v>25</v>
      </c>
      <c r="C4" s="2" t="s">
        <v>24</v>
      </c>
      <c r="D4" s="4">
        <v>1</v>
      </c>
      <c r="E4" s="3">
        <v>1.01</v>
      </c>
      <c r="F4" s="2" t="s">
        <v>23</v>
      </c>
      <c r="G4" s="2" t="s">
        <v>1</v>
      </c>
      <c r="H4" s="2" t="s">
        <v>0</v>
      </c>
    </row>
    <row r="5" spans="1:8" x14ac:dyDescent="0.2">
      <c r="A5" s="4">
        <v>349</v>
      </c>
      <c r="B5" s="2" t="s">
        <v>22</v>
      </c>
      <c r="C5" s="2" t="s">
        <v>21</v>
      </c>
      <c r="D5" s="4">
        <v>1</v>
      </c>
      <c r="E5" s="3">
        <v>1.01</v>
      </c>
      <c r="F5" s="2" t="s">
        <v>20</v>
      </c>
      <c r="G5" s="2" t="s">
        <v>1</v>
      </c>
      <c r="H5" s="2" t="s">
        <v>0</v>
      </c>
    </row>
    <row r="6" spans="1:8" x14ac:dyDescent="0.2">
      <c r="A6" s="4">
        <v>372</v>
      </c>
      <c r="B6" s="2" t="s">
        <v>19</v>
      </c>
      <c r="C6" s="2" t="s">
        <v>18</v>
      </c>
      <c r="D6" s="4">
        <v>1</v>
      </c>
      <c r="E6" s="3">
        <v>1.01</v>
      </c>
      <c r="F6" s="2" t="s">
        <v>17</v>
      </c>
      <c r="G6" s="2" t="s">
        <v>1</v>
      </c>
      <c r="H6" s="2" t="s">
        <v>0</v>
      </c>
    </row>
    <row r="7" spans="1:8" x14ac:dyDescent="0.2">
      <c r="A7" s="4">
        <v>373</v>
      </c>
      <c r="B7" s="2" t="s">
        <v>16</v>
      </c>
      <c r="C7" s="2" t="s">
        <v>15</v>
      </c>
      <c r="D7" s="4">
        <v>1</v>
      </c>
      <c r="E7" s="3">
        <v>1.01</v>
      </c>
      <c r="F7" s="2" t="s">
        <v>14</v>
      </c>
      <c r="G7" s="2" t="s">
        <v>1</v>
      </c>
      <c r="H7" s="2" t="s">
        <v>0</v>
      </c>
    </row>
    <row r="8" spans="1:8" x14ac:dyDescent="0.2">
      <c r="A8" s="4">
        <v>374</v>
      </c>
      <c r="B8" s="2" t="s">
        <v>13</v>
      </c>
      <c r="C8" s="2" t="s">
        <v>12</v>
      </c>
      <c r="D8" s="4">
        <v>1</v>
      </c>
      <c r="E8" s="3">
        <v>1.01</v>
      </c>
      <c r="F8" s="2" t="s">
        <v>11</v>
      </c>
      <c r="G8" s="2" t="s">
        <v>1</v>
      </c>
      <c r="H8" s="2" t="s">
        <v>0</v>
      </c>
    </row>
    <row r="9" spans="1:8" x14ac:dyDescent="0.2">
      <c r="A9" s="4">
        <v>375</v>
      </c>
      <c r="B9" s="2" t="s">
        <v>10</v>
      </c>
      <c r="C9" s="2" t="s">
        <v>9</v>
      </c>
      <c r="D9" s="4">
        <v>1</v>
      </c>
      <c r="E9" s="3">
        <v>1.01</v>
      </c>
      <c r="F9" s="2" t="s">
        <v>8</v>
      </c>
      <c r="G9" s="2" t="s">
        <v>1</v>
      </c>
      <c r="H9" s="2" t="s">
        <v>0</v>
      </c>
    </row>
    <row r="10" spans="1:8" x14ac:dyDescent="0.2">
      <c r="A10" s="4">
        <v>376</v>
      </c>
      <c r="B10" s="2" t="s">
        <v>7</v>
      </c>
      <c r="C10" s="2" t="s">
        <v>6</v>
      </c>
      <c r="D10" s="4">
        <v>1</v>
      </c>
      <c r="E10" s="3">
        <v>1.01</v>
      </c>
      <c r="F10" s="2" t="s">
        <v>5</v>
      </c>
      <c r="G10" s="2" t="s">
        <v>1</v>
      </c>
      <c r="H10" s="2" t="s">
        <v>0</v>
      </c>
    </row>
    <row r="11" spans="1:8" x14ac:dyDescent="0.2">
      <c r="A11" s="4">
        <v>377</v>
      </c>
      <c r="B11" s="2" t="s">
        <v>4</v>
      </c>
      <c r="C11" s="2" t="s">
        <v>3</v>
      </c>
      <c r="D11" s="4">
        <v>1</v>
      </c>
      <c r="E11" s="3">
        <v>1.01</v>
      </c>
      <c r="F11" s="2" t="s">
        <v>2</v>
      </c>
      <c r="G11" s="2" t="s">
        <v>1</v>
      </c>
      <c r="H11" s="2" t="s">
        <v>0</v>
      </c>
    </row>
    <row r="48" spans="1:1" x14ac:dyDescent="0.2">
      <c r="A48" s="1"/>
    </row>
    <row r="49" spans="1:3" x14ac:dyDescent="0.2">
      <c r="A49" s="1"/>
      <c r="C49" s="1"/>
    </row>
    <row r="50" spans="1:3" s="1" customFormat="1" x14ac:dyDescent="0.2">
      <c r="B50"/>
    </row>
    <row r="51" spans="1:3" s="1" customFormat="1" x14ac:dyDescent="0.2">
      <c r="B51"/>
    </row>
    <row r="52" spans="1:3" s="1" customFormat="1" x14ac:dyDescent="0.2">
      <c r="B52"/>
    </row>
    <row r="53" spans="1:3" s="1" customFormat="1" x14ac:dyDescent="0.2">
      <c r="B53"/>
    </row>
    <row r="54" spans="1:3" s="1" customFormat="1" x14ac:dyDescent="0.2">
      <c r="B54"/>
    </row>
    <row r="55" spans="1:3" s="1" customFormat="1" x14ac:dyDescent="0.2">
      <c r="A55"/>
      <c r="B55"/>
      <c r="C55"/>
    </row>
    <row r="56" spans="1:3" s="1" customFormat="1" x14ac:dyDescent="0.2">
      <c r="B56"/>
    </row>
    <row r="57" spans="1:3" s="1" customFormat="1" x14ac:dyDescent="0.2">
      <c r="B57"/>
    </row>
    <row r="58" spans="1:3" s="1" customFormat="1" x14ac:dyDescent="0.2">
      <c r="B58"/>
    </row>
    <row r="59" spans="1:3" s="1" customFormat="1" x14ac:dyDescent="0.2">
      <c r="B59"/>
    </row>
    <row r="60" spans="1:3" s="1" customFormat="1" x14ac:dyDescent="0.2">
      <c r="B60"/>
    </row>
    <row r="61" spans="1:3" s="1" customFormat="1" x14ac:dyDescent="0.2">
      <c r="B61"/>
    </row>
    <row r="62" spans="1:3" s="1" customFormat="1" x14ac:dyDescent="0.2">
      <c r="A62"/>
      <c r="B62"/>
      <c r="C62"/>
    </row>
    <row r="63" spans="1:3" s="1" customFormat="1" x14ac:dyDescent="0.2">
      <c r="B63"/>
      <c r="C63"/>
    </row>
    <row r="64" spans="1:3" s="1" customFormat="1" x14ac:dyDescent="0.2">
      <c r="B64"/>
    </row>
    <row r="65" spans="2:3" s="1" customFormat="1" x14ac:dyDescent="0.2">
      <c r="B65"/>
    </row>
    <row r="66" spans="2:3" s="1" customFormat="1" x14ac:dyDescent="0.2">
      <c r="B66"/>
    </row>
    <row r="67" spans="2:3" s="1" customFormat="1" x14ac:dyDescent="0.2">
      <c r="B67"/>
    </row>
    <row r="68" spans="2:3" s="1" customFormat="1" x14ac:dyDescent="0.2">
      <c r="B68"/>
    </row>
    <row r="69" spans="2:3" s="1" customFormat="1" x14ac:dyDescent="0.2">
      <c r="C69"/>
    </row>
    <row r="70" spans="2:3" s="1" customFormat="1" x14ac:dyDescent="0.2">
      <c r="C70"/>
    </row>
    <row r="71" spans="2:3" s="1" customFormat="1" x14ac:dyDescent="0.2">
      <c r="C71"/>
    </row>
    <row r="72" spans="2:3" s="1" customFormat="1" x14ac:dyDescent="0.2">
      <c r="B72"/>
    </row>
    <row r="73" spans="2:3" s="1" customFormat="1" x14ac:dyDescent="0.2">
      <c r="B73"/>
    </row>
    <row r="74" spans="2:3" s="1" customFormat="1" x14ac:dyDescent="0.2">
      <c r="B74"/>
    </row>
    <row r="75" spans="2:3" s="1" customFormat="1" x14ac:dyDescent="0.2">
      <c r="B75"/>
    </row>
    <row r="76" spans="2:3" s="1" customFormat="1" x14ac:dyDescent="0.2">
      <c r="B76"/>
    </row>
    <row r="77" spans="2:3" s="1" customFormat="1" x14ac:dyDescent="0.2">
      <c r="B77"/>
    </row>
    <row r="78" spans="2:3" s="1" customFormat="1" x14ac:dyDescent="0.2">
      <c r="B78"/>
    </row>
    <row r="79" spans="2:3" s="1" customFormat="1" x14ac:dyDescent="0.2">
      <c r="B79"/>
    </row>
    <row r="80" spans="2:3" s="1" customFormat="1" x14ac:dyDescent="0.2">
      <c r="B80"/>
    </row>
    <row r="81" spans="2:2" s="1" customFormat="1" x14ac:dyDescent="0.2">
      <c r="B81"/>
    </row>
    <row r="82" spans="2:2" s="1" customFormat="1" x14ac:dyDescent="0.2">
      <c r="B82"/>
    </row>
    <row r="83" spans="2:2" s="1" customFormat="1" x14ac:dyDescent="0.2">
      <c r="B83"/>
    </row>
    <row r="84" spans="2:2" s="1" customFormat="1" x14ac:dyDescent="0.2">
      <c r="B84"/>
    </row>
    <row r="85" spans="2:2" s="1" customFormat="1" x14ac:dyDescent="0.2">
      <c r="B85"/>
    </row>
    <row r="86" spans="2:2" s="1" customFormat="1" x14ac:dyDescent="0.2">
      <c r="B86"/>
    </row>
    <row r="87" spans="2:2" s="1" customFormat="1" x14ac:dyDescent="0.2">
      <c r="B87"/>
    </row>
    <row r="88" spans="2:2" s="1" customFormat="1" x14ac:dyDescent="0.2">
      <c r="B88"/>
    </row>
    <row r="89" spans="2:2" s="1" customFormat="1" x14ac:dyDescent="0.2">
      <c r="B89"/>
    </row>
    <row r="90" spans="2:2" s="1" customFormat="1" x14ac:dyDescent="0.2">
      <c r="B90"/>
    </row>
    <row r="91" spans="2:2" s="1" customFormat="1" x14ac:dyDescent="0.2">
      <c r="B91"/>
    </row>
    <row r="92" spans="2:2" s="1" customFormat="1" x14ac:dyDescent="0.2">
      <c r="B92"/>
    </row>
    <row r="93" spans="2:2" s="1" customFormat="1" x14ac:dyDescent="0.2">
      <c r="B93"/>
    </row>
    <row r="94" spans="2:2" s="1" customFormat="1" x14ac:dyDescent="0.2">
      <c r="B94"/>
    </row>
    <row r="95" spans="2:2" s="1" customFormat="1" x14ac:dyDescent="0.2">
      <c r="B95"/>
    </row>
    <row r="96" spans="2:2" s="1" customFormat="1" x14ac:dyDescent="0.2">
      <c r="B96"/>
    </row>
    <row r="97" spans="2:2" s="1" customFormat="1" x14ac:dyDescent="0.2">
      <c r="B97"/>
    </row>
    <row r="98" spans="2:2" s="1" customFormat="1" x14ac:dyDescent="0.2">
      <c r="B98"/>
    </row>
    <row r="99" spans="2:2" s="1" customFormat="1" x14ac:dyDescent="0.2">
      <c r="B99"/>
    </row>
    <row r="100" spans="2:2" s="1" customFormat="1" x14ac:dyDescent="0.2">
      <c r="B100"/>
    </row>
    <row r="101" spans="2:2" s="1" customFormat="1" x14ac:dyDescent="0.2">
      <c r="B101"/>
    </row>
    <row r="102" spans="2:2" s="1" customFormat="1" x14ac:dyDescent="0.2">
      <c r="B102"/>
    </row>
    <row r="103" spans="2:2" s="1" customFormat="1" x14ac:dyDescent="0.2">
      <c r="B103"/>
    </row>
    <row r="104" spans="2:2" s="1" customFormat="1" x14ac:dyDescent="0.2">
      <c r="B104"/>
    </row>
    <row r="105" spans="2:2" s="1" customFormat="1" x14ac:dyDescent="0.2">
      <c r="B105"/>
    </row>
    <row r="106" spans="2:2" s="1" customFormat="1" x14ac:dyDescent="0.2">
      <c r="B106"/>
    </row>
    <row r="107" spans="2:2" s="1" customFormat="1" x14ac:dyDescent="0.2">
      <c r="B107"/>
    </row>
    <row r="108" spans="2:2" s="1" customFormat="1" x14ac:dyDescent="0.2">
      <c r="B108"/>
    </row>
    <row r="109" spans="2:2" s="1" customFormat="1" x14ac:dyDescent="0.2">
      <c r="B109"/>
    </row>
    <row r="110" spans="2:2" s="1" customFormat="1" x14ac:dyDescent="0.2">
      <c r="B110"/>
    </row>
    <row r="111" spans="2:2" s="1" customFormat="1" x14ac:dyDescent="0.2">
      <c r="B111"/>
    </row>
    <row r="112" spans="2:2" s="1" customFormat="1" x14ac:dyDescent="0.2">
      <c r="B112"/>
    </row>
    <row r="113" spans="1:3" s="1" customFormat="1" x14ac:dyDescent="0.2">
      <c r="A113"/>
      <c r="B113"/>
      <c r="C113"/>
    </row>
    <row r="114" spans="1:3" s="1" customFormat="1" x14ac:dyDescent="0.2">
      <c r="B114"/>
    </row>
    <row r="115" spans="1:3" s="1" customFormat="1" x14ac:dyDescent="0.2">
      <c r="B115"/>
    </row>
    <row r="116" spans="1:3" s="1" customFormat="1" x14ac:dyDescent="0.2">
      <c r="B116"/>
    </row>
    <row r="117" spans="1:3" s="1" customFormat="1" x14ac:dyDescent="0.2">
      <c r="B117"/>
    </row>
    <row r="118" spans="1:3" s="1" customFormat="1" x14ac:dyDescent="0.2">
      <c r="B118"/>
    </row>
    <row r="119" spans="1:3" s="1" customFormat="1" x14ac:dyDescent="0.2">
      <c r="B119"/>
    </row>
    <row r="120" spans="1:3" s="1" customFormat="1" x14ac:dyDescent="0.2">
      <c r="B120"/>
    </row>
    <row r="121" spans="1:3" s="1" customFormat="1" x14ac:dyDescent="0.2">
      <c r="B121"/>
    </row>
    <row r="122" spans="1:3" s="1" customFormat="1" x14ac:dyDescent="0.2">
      <c r="A122"/>
      <c r="B122"/>
      <c r="C122"/>
    </row>
    <row r="123" spans="1:3" s="1" customFormat="1" x14ac:dyDescent="0.2">
      <c r="B123"/>
    </row>
    <row r="124" spans="1:3" s="1" customFormat="1" x14ac:dyDescent="0.2">
      <c r="B124"/>
    </row>
    <row r="125" spans="1:3" s="1" customFormat="1" x14ac:dyDescent="0.2">
      <c r="B125"/>
    </row>
    <row r="126" spans="1:3" s="1" customFormat="1" x14ac:dyDescent="0.2">
      <c r="B126"/>
    </row>
    <row r="127" spans="1:3" s="1" customFormat="1" x14ac:dyDescent="0.2">
      <c r="B127"/>
    </row>
    <row r="128" spans="1:3" s="1" customFormat="1" x14ac:dyDescent="0.2">
      <c r="B128"/>
    </row>
    <row r="129" spans="2:2" s="1" customFormat="1" x14ac:dyDescent="0.2">
      <c r="B129"/>
    </row>
    <row r="130" spans="2:2" s="1" customFormat="1" x14ac:dyDescent="0.2">
      <c r="B130"/>
    </row>
    <row r="131" spans="2:2" s="1" customFormat="1" x14ac:dyDescent="0.2">
      <c r="B131"/>
    </row>
    <row r="132" spans="2:2" s="1" customFormat="1" x14ac:dyDescent="0.2">
      <c r="B132"/>
    </row>
    <row r="133" spans="2:2" s="1" customFormat="1" x14ac:dyDescent="0.2">
      <c r="B133"/>
    </row>
    <row r="134" spans="2:2" s="1" customFormat="1" x14ac:dyDescent="0.2">
      <c r="B134"/>
    </row>
    <row r="135" spans="2:2" s="1" customFormat="1" x14ac:dyDescent="0.2">
      <c r="B135"/>
    </row>
    <row r="136" spans="2:2" s="1" customFormat="1" x14ac:dyDescent="0.2">
      <c r="B136"/>
    </row>
    <row r="137" spans="2:2" s="1" customFormat="1" x14ac:dyDescent="0.2">
      <c r="B137"/>
    </row>
    <row r="138" spans="2:2" s="1" customFormat="1" x14ac:dyDescent="0.2">
      <c r="B138"/>
    </row>
    <row r="139" spans="2:2" s="1" customFormat="1" x14ac:dyDescent="0.2">
      <c r="B139"/>
    </row>
    <row r="140" spans="2:2" s="1" customFormat="1" x14ac:dyDescent="0.2">
      <c r="B140"/>
    </row>
    <row r="141" spans="2:2" s="1" customFormat="1" x14ac:dyDescent="0.2">
      <c r="B141"/>
    </row>
    <row r="142" spans="2:2" s="1" customFormat="1" x14ac:dyDescent="0.2">
      <c r="B142"/>
    </row>
    <row r="143" spans="2:2" s="1" customFormat="1" x14ac:dyDescent="0.2">
      <c r="B143"/>
    </row>
    <row r="144" spans="2:2" s="1" customFormat="1" x14ac:dyDescent="0.2">
      <c r="B144"/>
    </row>
    <row r="145" spans="1:2" s="1" customFormat="1" x14ac:dyDescent="0.2">
      <c r="B145"/>
    </row>
    <row r="146" spans="1:2" s="1" customFormat="1" x14ac:dyDescent="0.2">
      <c r="B146"/>
    </row>
    <row r="147" spans="1:2" s="1" customFormat="1" x14ac:dyDescent="0.2">
      <c r="B147"/>
    </row>
    <row r="148" spans="1:2" s="1" customFormat="1" x14ac:dyDescent="0.2">
      <c r="B148"/>
    </row>
    <row r="149" spans="1:2" s="1" customFormat="1" x14ac:dyDescent="0.2">
      <c r="B149"/>
    </row>
    <row r="150" spans="1:2" s="1" customFormat="1" x14ac:dyDescent="0.2">
      <c r="B150"/>
    </row>
    <row r="151" spans="1:2" s="1" customFormat="1" x14ac:dyDescent="0.2">
      <c r="B151"/>
    </row>
    <row r="152" spans="1:2" s="1" customFormat="1" x14ac:dyDescent="0.2">
      <c r="B152"/>
    </row>
    <row r="153" spans="1:2" s="1" customFormat="1" x14ac:dyDescent="0.2">
      <c r="B153"/>
    </row>
    <row r="154" spans="1:2" s="1" customFormat="1" x14ac:dyDescent="0.2">
      <c r="B154"/>
    </row>
    <row r="155" spans="1:2" s="1" customFormat="1" x14ac:dyDescent="0.2">
      <c r="A155"/>
      <c r="B155"/>
    </row>
    <row r="156" spans="1:2" s="1" customFormat="1" x14ac:dyDescent="0.2">
      <c r="B156"/>
    </row>
    <row r="157" spans="1:2" s="1" customFormat="1" x14ac:dyDescent="0.2">
      <c r="B157"/>
    </row>
    <row r="158" spans="1:2" s="1" customFormat="1" x14ac:dyDescent="0.2">
      <c r="B158"/>
    </row>
    <row r="159" spans="1:2" s="1" customFormat="1" x14ac:dyDescent="0.2">
      <c r="B159"/>
    </row>
    <row r="160" spans="1:2" s="1" customFormat="1" x14ac:dyDescent="0.2">
      <c r="B160"/>
    </row>
    <row r="161" spans="2:2" s="1" customFormat="1" x14ac:dyDescent="0.2">
      <c r="B161"/>
    </row>
    <row r="162" spans="2:2" s="1" customFormat="1" x14ac:dyDescent="0.2">
      <c r="B162"/>
    </row>
    <row r="163" spans="2:2" s="1" customFormat="1" x14ac:dyDescent="0.2">
      <c r="B163"/>
    </row>
    <row r="164" spans="2:2" s="1" customFormat="1" x14ac:dyDescent="0.2">
      <c r="B164"/>
    </row>
    <row r="165" spans="2:2" s="1" customFormat="1" x14ac:dyDescent="0.2">
      <c r="B165"/>
    </row>
    <row r="166" spans="2:2" s="1" customFormat="1" x14ac:dyDescent="0.2">
      <c r="B166"/>
    </row>
    <row r="167" spans="2:2" s="1" customFormat="1" x14ac:dyDescent="0.2">
      <c r="B167"/>
    </row>
    <row r="168" spans="2:2" s="1" customFormat="1" x14ac:dyDescent="0.2">
      <c r="B168"/>
    </row>
    <row r="169" spans="2:2" s="1" customFormat="1" x14ac:dyDescent="0.2">
      <c r="B169"/>
    </row>
    <row r="170" spans="2:2" s="1" customFormat="1" x14ac:dyDescent="0.2">
      <c r="B170"/>
    </row>
    <row r="171" spans="2:2" s="1" customFormat="1" x14ac:dyDescent="0.2">
      <c r="B171"/>
    </row>
    <row r="172" spans="2:2" s="1" customFormat="1" x14ac:dyDescent="0.2">
      <c r="B172"/>
    </row>
    <row r="173" spans="2:2" s="1" customFormat="1" x14ac:dyDescent="0.2">
      <c r="B173"/>
    </row>
    <row r="174" spans="2:2" s="1" customFormat="1" x14ac:dyDescent="0.2">
      <c r="B174"/>
    </row>
    <row r="175" spans="2:2" s="1" customFormat="1" x14ac:dyDescent="0.2">
      <c r="B175"/>
    </row>
    <row r="176" spans="2:2" s="1" customFormat="1" x14ac:dyDescent="0.2">
      <c r="B176"/>
    </row>
    <row r="177" spans="1:3" s="1" customFormat="1" x14ac:dyDescent="0.2">
      <c r="B177"/>
    </row>
    <row r="178" spans="1:3" s="1" customFormat="1" x14ac:dyDescent="0.2">
      <c r="B178"/>
    </row>
    <row r="179" spans="1:3" s="1" customFormat="1" x14ac:dyDescent="0.2">
      <c r="B179"/>
    </row>
    <row r="180" spans="1:3" s="1" customFormat="1" x14ac:dyDescent="0.2">
      <c r="B180"/>
    </row>
    <row r="181" spans="1:3" s="1" customFormat="1" x14ac:dyDescent="0.2">
      <c r="B181"/>
    </row>
    <row r="182" spans="1:3" s="1" customFormat="1" x14ac:dyDescent="0.2">
      <c r="B182"/>
    </row>
    <row r="183" spans="1:3" s="1" customFormat="1" x14ac:dyDescent="0.2">
      <c r="B183"/>
      <c r="C183"/>
    </row>
    <row r="184" spans="1:3" s="1" customFormat="1" x14ac:dyDescent="0.2">
      <c r="B184"/>
    </row>
    <row r="185" spans="1:3" s="1" customFormat="1" x14ac:dyDescent="0.2">
      <c r="B185"/>
    </row>
    <row r="186" spans="1:3" s="1" customFormat="1" x14ac:dyDescent="0.2">
      <c r="B186"/>
    </row>
    <row r="187" spans="1:3" s="1" customFormat="1" x14ac:dyDescent="0.2">
      <c r="B187"/>
    </row>
    <row r="188" spans="1:3" s="1" customFormat="1" x14ac:dyDescent="0.2">
      <c r="A188"/>
      <c r="B188"/>
    </row>
    <row r="189" spans="1:3" s="1" customFormat="1" x14ac:dyDescent="0.2">
      <c r="B189"/>
    </row>
    <row r="190" spans="1:3" s="1" customFormat="1" x14ac:dyDescent="0.2">
      <c r="B190"/>
    </row>
    <row r="191" spans="1:3" s="1" customFormat="1" x14ac:dyDescent="0.2">
      <c r="B191"/>
    </row>
    <row r="192" spans="1:3" s="1" customFormat="1" x14ac:dyDescent="0.2">
      <c r="B192"/>
    </row>
    <row r="193" spans="2:2" s="1" customFormat="1" x14ac:dyDescent="0.2">
      <c r="B193"/>
    </row>
    <row r="194" spans="2:2" s="1" customFormat="1" x14ac:dyDescent="0.2">
      <c r="B194"/>
    </row>
    <row r="195" spans="2:2" s="1" customFormat="1" x14ac:dyDescent="0.2">
      <c r="B195"/>
    </row>
    <row r="196" spans="2:2" s="1" customFormat="1" x14ac:dyDescent="0.2">
      <c r="B196"/>
    </row>
    <row r="197" spans="2:2" s="1" customFormat="1" x14ac:dyDescent="0.2">
      <c r="B197"/>
    </row>
    <row r="198" spans="2:2" s="1" customFormat="1" x14ac:dyDescent="0.2">
      <c r="B198"/>
    </row>
    <row r="199" spans="2:2" s="1" customFormat="1" x14ac:dyDescent="0.2">
      <c r="B199"/>
    </row>
    <row r="200" spans="2:2" s="1" customFormat="1" x14ac:dyDescent="0.2">
      <c r="B200"/>
    </row>
    <row r="201" spans="2:2" s="1" customFormat="1" x14ac:dyDescent="0.2">
      <c r="B201"/>
    </row>
    <row r="202" spans="2:2" s="1" customFormat="1" x14ac:dyDescent="0.2">
      <c r="B202"/>
    </row>
    <row r="203" spans="2:2" s="1" customFormat="1" x14ac:dyDescent="0.2">
      <c r="B203"/>
    </row>
    <row r="204" spans="2:2" s="1" customFormat="1" x14ac:dyDescent="0.2">
      <c r="B204"/>
    </row>
    <row r="205" spans="2:2" s="1" customFormat="1" x14ac:dyDescent="0.2">
      <c r="B205"/>
    </row>
    <row r="206" spans="2:2" s="1" customFormat="1" x14ac:dyDescent="0.2">
      <c r="B206"/>
    </row>
    <row r="207" spans="2:2" s="1" customFormat="1" x14ac:dyDescent="0.2">
      <c r="B207"/>
    </row>
    <row r="208" spans="2:2" s="1" customFormat="1" x14ac:dyDescent="0.2">
      <c r="B208"/>
    </row>
    <row r="209" spans="2:2" s="1" customFormat="1" x14ac:dyDescent="0.2">
      <c r="B209"/>
    </row>
    <row r="210" spans="2:2" s="1" customFormat="1" x14ac:dyDescent="0.2">
      <c r="B210"/>
    </row>
    <row r="211" spans="2:2" s="1" customFormat="1" x14ac:dyDescent="0.2">
      <c r="B211"/>
    </row>
    <row r="212" spans="2:2" s="1" customFormat="1" x14ac:dyDescent="0.2">
      <c r="B212"/>
    </row>
    <row r="213" spans="2:2" s="1" customFormat="1" x14ac:dyDescent="0.2">
      <c r="B213"/>
    </row>
    <row r="214" spans="2:2" s="1" customFormat="1" x14ac:dyDescent="0.2">
      <c r="B214"/>
    </row>
    <row r="215" spans="2:2" s="1" customFormat="1" x14ac:dyDescent="0.2">
      <c r="B215"/>
    </row>
    <row r="216" spans="2:2" s="1" customFormat="1" x14ac:dyDescent="0.2">
      <c r="B216"/>
    </row>
    <row r="217" spans="2:2" s="1" customFormat="1" x14ac:dyDescent="0.2">
      <c r="B217"/>
    </row>
    <row r="218" spans="2:2" s="1" customFormat="1" x14ac:dyDescent="0.2">
      <c r="B218"/>
    </row>
    <row r="219" spans="2:2" s="1" customFormat="1" x14ac:dyDescent="0.2">
      <c r="B219"/>
    </row>
    <row r="220" spans="2:2" s="1" customFormat="1" x14ac:dyDescent="0.2">
      <c r="B220"/>
    </row>
    <row r="221" spans="2:2" s="1" customFormat="1" x14ac:dyDescent="0.2">
      <c r="B221"/>
    </row>
    <row r="222" spans="2:2" s="1" customFormat="1" x14ac:dyDescent="0.2">
      <c r="B222"/>
    </row>
    <row r="223" spans="2:2" s="1" customFormat="1" x14ac:dyDescent="0.2">
      <c r="B223"/>
    </row>
    <row r="224" spans="2:2" s="1" customFormat="1" x14ac:dyDescent="0.2">
      <c r="B224"/>
    </row>
    <row r="225" spans="2:2" s="1" customFormat="1" x14ac:dyDescent="0.2">
      <c r="B225"/>
    </row>
    <row r="226" spans="2:2" s="1" customFormat="1" x14ac:dyDescent="0.2">
      <c r="B226"/>
    </row>
    <row r="227" spans="2:2" s="1" customFormat="1" x14ac:dyDescent="0.2">
      <c r="B227"/>
    </row>
    <row r="228" spans="2:2" s="1" customFormat="1" x14ac:dyDescent="0.2">
      <c r="B228"/>
    </row>
    <row r="229" spans="2:2" s="1" customFormat="1" x14ac:dyDescent="0.2">
      <c r="B229"/>
    </row>
    <row r="230" spans="2:2" s="1" customFormat="1" x14ac:dyDescent="0.2">
      <c r="B230"/>
    </row>
    <row r="231" spans="2:2" s="1" customFormat="1" x14ac:dyDescent="0.2">
      <c r="B231"/>
    </row>
    <row r="232" spans="2:2" s="1" customFormat="1" x14ac:dyDescent="0.2">
      <c r="B232"/>
    </row>
    <row r="233" spans="2:2" s="1" customFormat="1" x14ac:dyDescent="0.2">
      <c r="B233"/>
    </row>
    <row r="234" spans="2:2" s="1" customFormat="1" x14ac:dyDescent="0.2">
      <c r="B234"/>
    </row>
    <row r="235" spans="2:2" s="1" customFormat="1" x14ac:dyDescent="0.2">
      <c r="B235"/>
    </row>
    <row r="236" spans="2:2" s="1" customFormat="1" x14ac:dyDescent="0.2">
      <c r="B236"/>
    </row>
    <row r="237" spans="2:2" s="1" customFormat="1" x14ac:dyDescent="0.2">
      <c r="B237"/>
    </row>
    <row r="238" spans="2:2" s="1" customFormat="1" x14ac:dyDescent="0.2">
      <c r="B238"/>
    </row>
    <row r="239" spans="2:2" s="1" customFormat="1" x14ac:dyDescent="0.2">
      <c r="B239"/>
    </row>
    <row r="240" spans="2:2" s="1" customFormat="1" x14ac:dyDescent="0.2">
      <c r="B240"/>
    </row>
    <row r="241" spans="1:3" s="1" customFormat="1" x14ac:dyDescent="0.2">
      <c r="B241"/>
    </row>
    <row r="242" spans="1:3" s="1" customFormat="1" x14ac:dyDescent="0.2">
      <c r="B242"/>
    </row>
    <row r="243" spans="1:3" s="1" customFormat="1" x14ac:dyDescent="0.2">
      <c r="B243"/>
    </row>
    <row r="244" spans="1:3" s="1" customFormat="1" x14ac:dyDescent="0.2">
      <c r="B244"/>
    </row>
    <row r="245" spans="1:3" s="1" customFormat="1" x14ac:dyDescent="0.2">
      <c r="B245"/>
    </row>
    <row r="246" spans="1:3" s="1" customFormat="1" x14ac:dyDescent="0.2">
      <c r="B246"/>
    </row>
    <row r="247" spans="1:3" s="1" customFormat="1" x14ac:dyDescent="0.2">
      <c r="A247"/>
      <c r="B247"/>
      <c r="C247"/>
    </row>
    <row r="248" spans="1:3" s="1" customFormat="1" x14ac:dyDescent="0.2">
      <c r="B248"/>
    </row>
    <row r="249" spans="1:3" s="1" customFormat="1" x14ac:dyDescent="0.2">
      <c r="B249"/>
    </row>
    <row r="250" spans="1:3" s="1" customFormat="1" x14ac:dyDescent="0.2">
      <c r="B250"/>
    </row>
    <row r="251" spans="1:3" s="1" customFormat="1" x14ac:dyDescent="0.2">
      <c r="B251"/>
    </row>
    <row r="252" spans="1:3" s="1" customFormat="1" x14ac:dyDescent="0.2">
      <c r="B252"/>
    </row>
    <row r="253" spans="1:3" s="1" customFormat="1" x14ac:dyDescent="0.2">
      <c r="B253"/>
    </row>
    <row r="254" spans="1:3" s="1" customFormat="1" x14ac:dyDescent="0.2">
      <c r="B254"/>
    </row>
    <row r="255" spans="1:3" s="1" customFormat="1" x14ac:dyDescent="0.2">
      <c r="B255"/>
    </row>
    <row r="256" spans="1:3" s="1" customFormat="1" x14ac:dyDescent="0.2">
      <c r="B256"/>
    </row>
    <row r="257" spans="1:3" s="1" customFormat="1" x14ac:dyDescent="0.2">
      <c r="B257"/>
    </row>
    <row r="258" spans="1:3" s="1" customFormat="1" x14ac:dyDescent="0.2">
      <c r="B258"/>
    </row>
    <row r="259" spans="1:3" s="1" customFormat="1" x14ac:dyDescent="0.2">
      <c r="B259"/>
    </row>
    <row r="260" spans="1:3" s="1" customFormat="1" x14ac:dyDescent="0.2">
      <c r="B260"/>
    </row>
    <row r="261" spans="1:3" s="1" customFormat="1" x14ac:dyDescent="0.2">
      <c r="A261"/>
      <c r="B261"/>
      <c r="C261"/>
    </row>
    <row r="262" spans="1:3" s="1" customFormat="1" x14ac:dyDescent="0.2">
      <c r="A262"/>
      <c r="B262"/>
      <c r="C262"/>
    </row>
    <row r="263" spans="1:3" s="1" customFormat="1" x14ac:dyDescent="0.2">
      <c r="A263"/>
      <c r="B263"/>
      <c r="C263"/>
    </row>
    <row r="264" spans="1:3" s="1" customFormat="1" x14ac:dyDescent="0.2">
      <c r="A264"/>
      <c r="B264"/>
      <c r="C264"/>
    </row>
    <row r="265" spans="1:3" s="1" customFormat="1" x14ac:dyDescent="0.2">
      <c r="A265"/>
      <c r="B265"/>
      <c r="C265"/>
    </row>
    <row r="266" spans="1:3" s="1" customFormat="1" x14ac:dyDescent="0.2">
      <c r="A266"/>
      <c r="B266"/>
      <c r="C266"/>
    </row>
    <row r="298" spans="1:3" x14ac:dyDescent="0.2">
      <c r="C298" s="1"/>
    </row>
    <row r="299" spans="1:3" x14ac:dyDescent="0.2">
      <c r="A299" s="1"/>
    </row>
    <row r="391" spans="1:3" x14ac:dyDescent="0.2">
      <c r="C391" s="1"/>
    </row>
    <row r="395" spans="1:3" x14ac:dyDescent="0.2">
      <c r="A395" s="1"/>
      <c r="C395" s="1"/>
    </row>
    <row r="396" spans="1:3" x14ac:dyDescent="0.2">
      <c r="A396" s="1"/>
      <c r="C396" s="1"/>
    </row>
    <row r="403" spans="1:3" x14ac:dyDescent="0.2">
      <c r="A403" s="1"/>
      <c r="C403" s="1"/>
    </row>
    <row r="412" spans="1:3" x14ac:dyDescent="0.2">
      <c r="A412" s="1"/>
      <c r="C412" s="1"/>
    </row>
    <row r="413" spans="1:3" x14ac:dyDescent="0.2">
      <c r="A413" s="1"/>
      <c r="C413" s="1"/>
    </row>
    <row r="426" spans="1:3" x14ac:dyDescent="0.2">
      <c r="A426" s="1"/>
    </row>
    <row r="427" spans="1:3" x14ac:dyDescent="0.2">
      <c r="C427" s="1"/>
    </row>
    <row r="430" spans="1:3" x14ac:dyDescent="0.2">
      <c r="A430" s="1"/>
    </row>
    <row r="431" spans="1:3" x14ac:dyDescent="0.2">
      <c r="A431" s="1"/>
      <c r="C431" s="1"/>
    </row>
    <row r="432" spans="1:3" x14ac:dyDescent="0.2">
      <c r="A432" s="1"/>
      <c r="C432" s="1"/>
    </row>
    <row r="433" spans="1:3" x14ac:dyDescent="0.2">
      <c r="A433" s="1"/>
      <c r="C433" s="1"/>
    </row>
    <row r="434" spans="1:3" x14ac:dyDescent="0.2">
      <c r="A434" s="1"/>
      <c r="C434" s="1"/>
    </row>
    <row r="435" spans="1:3" s="1" customFormat="1" x14ac:dyDescent="0.2">
      <c r="B435"/>
    </row>
    <row r="436" spans="1:3" s="1" customFormat="1" x14ac:dyDescent="0.2">
      <c r="B436"/>
    </row>
    <row r="437" spans="1:3" s="1" customFormat="1" x14ac:dyDescent="0.2">
      <c r="B437"/>
    </row>
    <row r="438" spans="1:3" s="1" customFormat="1" x14ac:dyDescent="0.2">
      <c r="B438"/>
      <c r="C438"/>
    </row>
    <row r="439" spans="1:3" s="1" customFormat="1" x14ac:dyDescent="0.2">
      <c r="B439"/>
    </row>
    <row r="440" spans="1:3" s="1" customFormat="1" x14ac:dyDescent="0.2">
      <c r="B440"/>
    </row>
    <row r="441" spans="1:3" s="1" customFormat="1" x14ac:dyDescent="0.2">
      <c r="B441"/>
    </row>
    <row r="442" spans="1:3" s="1" customFormat="1" x14ac:dyDescent="0.2">
      <c r="A442"/>
      <c r="B442"/>
      <c r="C442"/>
    </row>
    <row r="443" spans="1:3" s="1" customFormat="1" x14ac:dyDescent="0.2">
      <c r="A443"/>
      <c r="B443"/>
      <c r="C443"/>
    </row>
    <row r="444" spans="1:3" s="1" customFormat="1" x14ac:dyDescent="0.2">
      <c r="B444"/>
    </row>
    <row r="445" spans="1:3" s="1" customFormat="1" x14ac:dyDescent="0.2">
      <c r="B445"/>
    </row>
    <row r="446" spans="1:3" s="1" customFormat="1" x14ac:dyDescent="0.2">
      <c r="A446"/>
      <c r="B446"/>
      <c r="C446"/>
    </row>
    <row r="447" spans="1:3" s="1" customFormat="1" x14ac:dyDescent="0.2">
      <c r="B447"/>
    </row>
    <row r="448" spans="1:3" s="1" customFormat="1" x14ac:dyDescent="0.2">
      <c r="B448"/>
    </row>
    <row r="449" spans="1:3" s="1" customFormat="1" x14ac:dyDescent="0.2">
      <c r="B449"/>
    </row>
    <row r="450" spans="1:3" s="1" customFormat="1" x14ac:dyDescent="0.2">
      <c r="B450"/>
    </row>
    <row r="451" spans="1:3" s="1" customFormat="1" x14ac:dyDescent="0.2">
      <c r="B451"/>
    </row>
    <row r="452" spans="1:3" s="1" customFormat="1" x14ac:dyDescent="0.2">
      <c r="B452"/>
    </row>
    <row r="453" spans="1:3" s="1" customFormat="1" x14ac:dyDescent="0.2">
      <c r="B453"/>
    </row>
    <row r="454" spans="1:3" s="1" customFormat="1" x14ac:dyDescent="0.2">
      <c r="A454"/>
      <c r="B454"/>
      <c r="C454"/>
    </row>
    <row r="455" spans="1:3" s="1" customFormat="1" x14ac:dyDescent="0.2">
      <c r="B455"/>
    </row>
    <row r="456" spans="1:3" s="1" customFormat="1" x14ac:dyDescent="0.2">
      <c r="B456"/>
    </row>
    <row r="457" spans="1:3" s="1" customFormat="1" x14ac:dyDescent="0.2">
      <c r="B457"/>
    </row>
    <row r="458" spans="1:3" s="1" customFormat="1" x14ac:dyDescent="0.2">
      <c r="B458"/>
    </row>
    <row r="459" spans="1:3" s="1" customFormat="1" x14ac:dyDescent="0.2">
      <c r="B459"/>
    </row>
    <row r="460" spans="1:3" s="1" customFormat="1" x14ac:dyDescent="0.2">
      <c r="B460"/>
    </row>
    <row r="461" spans="1:3" s="1" customFormat="1" x14ac:dyDescent="0.2">
      <c r="B461"/>
    </row>
    <row r="462" spans="1:3" s="1" customFormat="1" x14ac:dyDescent="0.2">
      <c r="B462"/>
    </row>
    <row r="463" spans="1:3" s="1" customFormat="1" x14ac:dyDescent="0.2">
      <c r="B463"/>
    </row>
    <row r="464" spans="1:3" s="1" customFormat="1" x14ac:dyDescent="0.2">
      <c r="A464"/>
      <c r="B464"/>
      <c r="C464"/>
    </row>
    <row r="465" spans="1:3" s="1" customFormat="1" x14ac:dyDescent="0.2">
      <c r="B465"/>
    </row>
    <row r="466" spans="1:3" s="1" customFormat="1" x14ac:dyDescent="0.2">
      <c r="B466"/>
    </row>
    <row r="467" spans="1:3" s="1" customFormat="1" x14ac:dyDescent="0.2">
      <c r="B467"/>
    </row>
    <row r="468" spans="1:3" s="1" customFormat="1" x14ac:dyDescent="0.2">
      <c r="B468"/>
    </row>
    <row r="469" spans="1:3" s="1" customFormat="1" x14ac:dyDescent="0.2">
      <c r="B469"/>
    </row>
    <row r="470" spans="1:3" s="1" customFormat="1" x14ac:dyDescent="0.2">
      <c r="B470"/>
    </row>
    <row r="471" spans="1:3" s="1" customFormat="1" x14ac:dyDescent="0.2">
      <c r="B471"/>
    </row>
    <row r="472" spans="1:3" s="1" customFormat="1" x14ac:dyDescent="0.2">
      <c r="B472"/>
    </row>
    <row r="473" spans="1:3" s="1" customFormat="1" x14ac:dyDescent="0.2">
      <c r="B473"/>
    </row>
    <row r="474" spans="1:3" s="1" customFormat="1" x14ac:dyDescent="0.2">
      <c r="B474"/>
    </row>
    <row r="475" spans="1:3" s="1" customFormat="1" x14ac:dyDescent="0.2">
      <c r="B475"/>
    </row>
    <row r="476" spans="1:3" s="1" customFormat="1" x14ac:dyDescent="0.2">
      <c r="B476"/>
    </row>
    <row r="477" spans="1:3" s="1" customFormat="1" x14ac:dyDescent="0.2">
      <c r="B477"/>
    </row>
    <row r="478" spans="1:3" s="1" customFormat="1" x14ac:dyDescent="0.2">
      <c r="B478"/>
    </row>
    <row r="479" spans="1:3" s="1" customFormat="1" x14ac:dyDescent="0.2">
      <c r="B479"/>
    </row>
    <row r="480" spans="1:3" s="1" customFormat="1" x14ac:dyDescent="0.2">
      <c r="A480"/>
      <c r="B480"/>
      <c r="C480"/>
    </row>
    <row r="481" spans="1:3" s="1" customFormat="1" x14ac:dyDescent="0.2">
      <c r="B481"/>
    </row>
    <row r="482" spans="1:3" s="1" customFormat="1" x14ac:dyDescent="0.2">
      <c r="B482"/>
    </row>
    <row r="483" spans="1:3" s="1" customFormat="1" x14ac:dyDescent="0.2">
      <c r="A483"/>
      <c r="B483"/>
    </row>
    <row r="484" spans="1:3" s="1" customFormat="1" x14ac:dyDescent="0.2">
      <c r="A484"/>
      <c r="B484"/>
      <c r="C484"/>
    </row>
    <row r="485" spans="1:3" s="1" customFormat="1" x14ac:dyDescent="0.2">
      <c r="A485"/>
      <c r="B485"/>
      <c r="C485"/>
    </row>
    <row r="486" spans="1:3" s="1" customFormat="1" x14ac:dyDescent="0.2">
      <c r="A486"/>
      <c r="B486"/>
      <c r="C486"/>
    </row>
    <row r="487" spans="1:3" s="1" customFormat="1" x14ac:dyDescent="0.2">
      <c r="A487"/>
      <c r="B487"/>
      <c r="C487"/>
    </row>
    <row r="593" spans="1:1" x14ac:dyDescent="0.2">
      <c r="A593" s="1"/>
    </row>
    <row r="644" spans="3:3" x14ac:dyDescent="0.2">
      <c r="C644" s="1"/>
    </row>
    <row r="1287" spans="1:1" x14ac:dyDescent="0.2">
      <c r="A1287" s="1"/>
    </row>
    <row r="1649" spans="3:3" x14ac:dyDescent="0.2">
      <c r="C1649" s="1"/>
    </row>
    <row r="2329" spans="1:1" x14ac:dyDescent="0.2">
      <c r="A2329" s="1"/>
    </row>
    <row r="2612" spans="1:1" x14ac:dyDescent="0.2">
      <c r="A2612" s="1"/>
    </row>
    <row r="2743" spans="3:3" x14ac:dyDescent="0.2">
      <c r="C2743" s="1"/>
    </row>
    <row r="4243" spans="1:1" x14ac:dyDescent="0.2">
      <c r="A4243" s="1"/>
    </row>
    <row r="4276" spans="1:1" x14ac:dyDescent="0.2">
      <c r="A4276" s="1"/>
    </row>
    <row r="4289" spans="3:3" x14ac:dyDescent="0.2">
      <c r="C4289" s="1"/>
    </row>
    <row r="4323" spans="3:3" x14ac:dyDescent="0.2">
      <c r="C4323" s="1"/>
    </row>
    <row r="4805" spans="1:3" x14ac:dyDescent="0.2">
      <c r="A4805" s="1"/>
      <c r="C4805" s="1"/>
    </row>
    <row r="4806" spans="1:3" x14ac:dyDescent="0.2">
      <c r="A4806" s="1"/>
      <c r="C4806" s="1"/>
    </row>
    <row r="4807" spans="1:3" x14ac:dyDescent="0.2">
      <c r="A4807" s="1"/>
      <c r="B4807" s="1"/>
    </row>
  </sheetData>
  <sortState xmlns:xlrd2="http://schemas.microsoft.com/office/spreadsheetml/2017/richdata2" ref="B552:C4818">
    <sortCondition ref="B1"/>
  </sortState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7F2A-7EDD-48AF-8B5E-812AFA1BCC75}">
  <dimension ref="A1:I51"/>
  <sheetViews>
    <sheetView tabSelected="1" topLeftCell="A34" zoomScale="181" zoomScaleNormal="181" workbookViewId="0">
      <selection activeCell="B36" sqref="B36"/>
    </sheetView>
  </sheetViews>
  <sheetFormatPr baseColWidth="10" defaultRowHeight="15" x14ac:dyDescent="0.2"/>
  <cols>
    <col min="1" max="1" width="13.5" bestFit="1" customWidth="1"/>
    <col min="2" max="2" width="10.83203125" bestFit="1" customWidth="1"/>
    <col min="3" max="3" width="15.5" bestFit="1" customWidth="1"/>
    <col min="4" max="4" width="10.33203125" bestFit="1" customWidth="1"/>
    <col min="5" max="5" width="6.5" bestFit="1" customWidth="1"/>
    <col min="6" max="6" width="13.5" bestFit="1" customWidth="1"/>
  </cols>
  <sheetData>
    <row r="1" spans="1:9" x14ac:dyDescent="0.2">
      <c r="A1" s="10" t="s">
        <v>99</v>
      </c>
    </row>
    <row r="2" spans="1:9" ht="16" x14ac:dyDescent="0.2">
      <c r="A2" s="9" t="s">
        <v>98</v>
      </c>
    </row>
    <row r="3" spans="1:9" ht="16" x14ac:dyDescent="0.2">
      <c r="A3" s="9" t="s">
        <v>100</v>
      </c>
    </row>
    <row r="4" spans="1:9" ht="16" x14ac:dyDescent="0.2">
      <c r="A4" s="9" t="s">
        <v>101</v>
      </c>
    </row>
    <row r="5" spans="1:9" ht="16" x14ac:dyDescent="0.2">
      <c r="A5" s="9" t="s">
        <v>102</v>
      </c>
    </row>
    <row r="6" spans="1:9" x14ac:dyDescent="0.2">
      <c r="A6" s="19" t="s">
        <v>103</v>
      </c>
      <c r="B6" s="11" t="s">
        <v>105</v>
      </c>
    </row>
    <row r="7" spans="1:9" x14ac:dyDescent="0.2">
      <c r="A7" s="19"/>
      <c r="B7" s="11" t="s">
        <v>104</v>
      </c>
    </row>
    <row r="8" spans="1:9" ht="18" customHeight="1" x14ac:dyDescent="0.2">
      <c r="A8" s="18" t="s">
        <v>127</v>
      </c>
      <c r="B8" s="18"/>
      <c r="C8" s="18"/>
      <c r="D8" s="18"/>
      <c r="E8" s="18"/>
      <c r="F8" s="18"/>
      <c r="G8" s="18"/>
      <c r="H8" s="18"/>
      <c r="I8" s="18"/>
    </row>
    <row r="9" spans="1:9" ht="18" customHeight="1" x14ac:dyDescent="0.2">
      <c r="A9" s="18" t="s">
        <v>133</v>
      </c>
      <c r="B9" s="18"/>
      <c r="C9" s="18"/>
      <c r="D9" s="18" t="s">
        <v>134</v>
      </c>
      <c r="E9" s="18"/>
      <c r="F9" s="18"/>
      <c r="G9" s="18" t="s">
        <v>135</v>
      </c>
      <c r="H9" s="18"/>
      <c r="I9" s="18"/>
    </row>
    <row r="10" spans="1:9" ht="15" customHeight="1" x14ac:dyDescent="0.2">
      <c r="A10" s="13" t="s">
        <v>106</v>
      </c>
      <c r="B10" s="12">
        <v>0.125</v>
      </c>
      <c r="C10" t="s">
        <v>107</v>
      </c>
      <c r="D10" s="13" t="s">
        <v>106</v>
      </c>
      <c r="E10" s="14">
        <v>0.12</v>
      </c>
      <c r="F10" t="s">
        <v>107</v>
      </c>
      <c r="G10" s="13" t="s">
        <v>106</v>
      </c>
      <c r="H10" s="15">
        <v>0.125</v>
      </c>
      <c r="I10" t="s">
        <v>107</v>
      </c>
    </row>
    <row r="11" spans="1:9" ht="16" x14ac:dyDescent="0.2">
      <c r="A11" s="13" t="s">
        <v>109</v>
      </c>
      <c r="B11" s="12">
        <v>0.35</v>
      </c>
      <c r="C11" t="s">
        <v>108</v>
      </c>
      <c r="D11" s="13" t="s">
        <v>109</v>
      </c>
      <c r="E11" s="14">
        <v>0.25</v>
      </c>
      <c r="F11" t="s">
        <v>108</v>
      </c>
      <c r="G11" s="13" t="s">
        <v>109</v>
      </c>
      <c r="H11" s="15">
        <v>0.45</v>
      </c>
      <c r="I11" t="s">
        <v>108</v>
      </c>
    </row>
    <row r="12" spans="1:9" x14ac:dyDescent="0.2">
      <c r="A12" t="s">
        <v>110</v>
      </c>
      <c r="B12" s="12">
        <v>0.55000000000000004</v>
      </c>
      <c r="C12" t="s">
        <v>111</v>
      </c>
      <c r="D12" t="s">
        <v>110</v>
      </c>
      <c r="E12" s="14">
        <v>0.35</v>
      </c>
      <c r="F12" t="s">
        <v>111</v>
      </c>
      <c r="G12" t="s">
        <v>110</v>
      </c>
      <c r="H12" s="15">
        <v>0.65</v>
      </c>
      <c r="I12" t="s">
        <v>111</v>
      </c>
    </row>
    <row r="13" spans="1:9" x14ac:dyDescent="0.2">
      <c r="A13" t="s">
        <v>112</v>
      </c>
      <c r="B13" s="12">
        <v>0.1</v>
      </c>
      <c r="C13" t="s">
        <v>113</v>
      </c>
      <c r="D13" t="s">
        <v>112</v>
      </c>
      <c r="E13" s="14">
        <v>6.5000000000000002E-2</v>
      </c>
      <c r="F13" t="s">
        <v>113</v>
      </c>
      <c r="G13" t="s">
        <v>112</v>
      </c>
      <c r="H13" s="15">
        <v>0.1</v>
      </c>
      <c r="I13" t="s">
        <v>113</v>
      </c>
    </row>
    <row r="14" spans="1:9" x14ac:dyDescent="0.2">
      <c r="A14" s="18" t="s">
        <v>128</v>
      </c>
      <c r="B14" s="18"/>
      <c r="C14" s="18"/>
      <c r="D14" s="18"/>
      <c r="E14" s="18"/>
      <c r="F14" s="18"/>
      <c r="G14" s="18"/>
      <c r="H14" s="18"/>
      <c r="I14" s="18"/>
    </row>
    <row r="15" spans="1:9" ht="18" customHeight="1" x14ac:dyDescent="0.2">
      <c r="A15" s="18" t="s">
        <v>133</v>
      </c>
      <c r="B15" s="18"/>
      <c r="C15" s="18"/>
      <c r="D15" s="18" t="s">
        <v>134</v>
      </c>
      <c r="E15" s="18"/>
      <c r="F15" s="18"/>
      <c r="G15" s="18" t="s">
        <v>135</v>
      </c>
      <c r="H15" s="18"/>
      <c r="I15" s="18"/>
    </row>
    <row r="16" spans="1:9" ht="16" x14ac:dyDescent="0.2">
      <c r="A16" s="13" t="s">
        <v>106</v>
      </c>
      <c r="B16" s="12">
        <v>0.125</v>
      </c>
      <c r="C16" t="s">
        <v>107</v>
      </c>
      <c r="D16" s="13" t="s">
        <v>106</v>
      </c>
      <c r="E16" s="14">
        <v>0.12</v>
      </c>
      <c r="F16" t="s">
        <v>107</v>
      </c>
      <c r="G16" s="13" t="s">
        <v>106</v>
      </c>
      <c r="H16" s="15">
        <v>0.125</v>
      </c>
      <c r="I16" t="s">
        <v>107</v>
      </c>
    </row>
    <row r="17" spans="1:9" ht="16" x14ac:dyDescent="0.2">
      <c r="A17" s="13" t="s">
        <v>109</v>
      </c>
      <c r="B17" s="12">
        <v>0.34499999999999997</v>
      </c>
      <c r="C17" t="s">
        <v>108</v>
      </c>
      <c r="D17" s="13" t="s">
        <v>109</v>
      </c>
      <c r="E17" s="14">
        <v>0.245</v>
      </c>
      <c r="F17" t="s">
        <v>108</v>
      </c>
      <c r="G17" s="13" t="s">
        <v>109</v>
      </c>
      <c r="H17" s="15">
        <v>0.4</v>
      </c>
      <c r="I17" t="s">
        <v>108</v>
      </c>
    </row>
    <row r="18" spans="1:9" x14ac:dyDescent="0.2">
      <c r="A18" t="s">
        <v>110</v>
      </c>
      <c r="B18" s="12">
        <v>0.55000000000000004</v>
      </c>
      <c r="C18" t="s">
        <v>111</v>
      </c>
      <c r="D18" t="s">
        <v>110</v>
      </c>
      <c r="E18" s="14">
        <v>0.35</v>
      </c>
      <c r="F18" t="s">
        <v>111</v>
      </c>
      <c r="G18" t="s">
        <v>110</v>
      </c>
      <c r="H18" s="15">
        <v>0.65</v>
      </c>
      <c r="I18" t="s">
        <v>111</v>
      </c>
    </row>
    <row r="19" spans="1:9" x14ac:dyDescent="0.2">
      <c r="A19" t="s">
        <v>112</v>
      </c>
      <c r="B19" s="12">
        <v>0.1</v>
      </c>
      <c r="C19" t="s">
        <v>113</v>
      </c>
      <c r="D19" t="s">
        <v>112</v>
      </c>
      <c r="E19" s="14">
        <v>6.5000000000000002E-2</v>
      </c>
      <c r="F19" t="s">
        <v>113</v>
      </c>
      <c r="G19" t="s">
        <v>112</v>
      </c>
      <c r="H19" s="15">
        <v>0.1</v>
      </c>
      <c r="I19" t="s">
        <v>113</v>
      </c>
    </row>
    <row r="20" spans="1:9" x14ac:dyDescent="0.2">
      <c r="A20" s="18" t="s">
        <v>129</v>
      </c>
      <c r="B20" s="18"/>
      <c r="C20" s="18"/>
      <c r="D20" s="18"/>
      <c r="E20" s="18"/>
      <c r="F20" s="18"/>
      <c r="G20" s="18"/>
      <c r="H20" s="18"/>
      <c r="I20" s="18"/>
    </row>
    <row r="21" spans="1:9" ht="18" customHeight="1" x14ac:dyDescent="0.2">
      <c r="A21" s="18" t="s">
        <v>133</v>
      </c>
      <c r="B21" s="18"/>
      <c r="C21" s="18"/>
      <c r="D21" s="18" t="s">
        <v>134</v>
      </c>
      <c r="E21" s="18"/>
      <c r="F21" s="18"/>
      <c r="G21" s="18" t="s">
        <v>135</v>
      </c>
      <c r="H21" s="18"/>
      <c r="I21" s="18"/>
    </row>
    <row r="22" spans="1:9" ht="16" x14ac:dyDescent="0.2">
      <c r="A22" s="13" t="s">
        <v>106</v>
      </c>
      <c r="B22" s="12">
        <v>0.125</v>
      </c>
      <c r="C22" t="s">
        <v>107</v>
      </c>
      <c r="D22" s="13" t="s">
        <v>106</v>
      </c>
      <c r="E22" s="14">
        <v>0.12</v>
      </c>
      <c r="F22" t="s">
        <v>107</v>
      </c>
      <c r="G22" s="13" t="s">
        <v>106</v>
      </c>
      <c r="H22" s="15">
        <v>0.125</v>
      </c>
      <c r="I22" t="s">
        <v>107</v>
      </c>
    </row>
    <row r="23" spans="1:9" ht="16" x14ac:dyDescent="0.2">
      <c r="A23" s="13" t="s">
        <v>109</v>
      </c>
      <c r="B23" s="12">
        <v>0.34</v>
      </c>
      <c r="C23" t="s">
        <v>108</v>
      </c>
      <c r="D23" s="13" t="s">
        <v>109</v>
      </c>
      <c r="E23" s="14">
        <v>0.24</v>
      </c>
      <c r="F23" t="s">
        <v>108</v>
      </c>
      <c r="G23" s="13" t="s">
        <v>109</v>
      </c>
      <c r="H23" s="15">
        <v>0.35</v>
      </c>
      <c r="I23" t="s">
        <v>108</v>
      </c>
    </row>
    <row r="24" spans="1:9" x14ac:dyDescent="0.2">
      <c r="A24" t="s">
        <v>110</v>
      </c>
      <c r="B24" s="12">
        <v>0.55000000000000004</v>
      </c>
      <c r="C24" t="s">
        <v>111</v>
      </c>
      <c r="D24" t="s">
        <v>110</v>
      </c>
      <c r="E24" s="14">
        <v>0.35</v>
      </c>
      <c r="F24" t="s">
        <v>111</v>
      </c>
      <c r="G24" t="s">
        <v>110</v>
      </c>
      <c r="H24" s="15">
        <v>0.65</v>
      </c>
      <c r="I24" t="s">
        <v>111</v>
      </c>
    </row>
    <row r="25" spans="1:9" x14ac:dyDescent="0.2">
      <c r="A25" t="s">
        <v>112</v>
      </c>
      <c r="B25" s="12">
        <v>0.09</v>
      </c>
      <c r="C25" t="s">
        <v>113</v>
      </c>
      <c r="D25" t="s">
        <v>112</v>
      </c>
      <c r="E25" s="14">
        <v>5.5E-2</v>
      </c>
      <c r="F25" t="s">
        <v>113</v>
      </c>
      <c r="G25" t="s">
        <v>112</v>
      </c>
      <c r="H25" s="15">
        <v>0.1</v>
      </c>
      <c r="I25" t="s">
        <v>113</v>
      </c>
    </row>
    <row r="26" spans="1:9" x14ac:dyDescent="0.2">
      <c r="A26" s="18" t="s">
        <v>130</v>
      </c>
      <c r="B26" s="18"/>
      <c r="C26" s="18"/>
      <c r="D26" s="18"/>
      <c r="E26" s="18"/>
      <c r="F26" s="18"/>
      <c r="G26" s="18"/>
      <c r="H26" s="18"/>
      <c r="I26" s="18"/>
    </row>
    <row r="27" spans="1:9" ht="18" customHeight="1" x14ac:dyDescent="0.2">
      <c r="A27" s="18" t="s">
        <v>133</v>
      </c>
      <c r="B27" s="18"/>
      <c r="C27" s="18"/>
      <c r="D27" s="18" t="s">
        <v>134</v>
      </c>
      <c r="E27" s="18"/>
      <c r="F27" s="18"/>
      <c r="G27" s="18" t="s">
        <v>135</v>
      </c>
      <c r="H27" s="18"/>
      <c r="I27" s="18"/>
    </row>
    <row r="28" spans="1:9" ht="16" x14ac:dyDescent="0.2">
      <c r="A28" s="13" t="s">
        <v>106</v>
      </c>
      <c r="B28" s="12">
        <v>0.125</v>
      </c>
      <c r="C28" t="s">
        <v>107</v>
      </c>
      <c r="D28" s="13" t="s">
        <v>106</v>
      </c>
      <c r="E28" s="14">
        <v>0.12</v>
      </c>
      <c r="F28" t="s">
        <v>107</v>
      </c>
      <c r="G28" s="13" t="s">
        <v>106</v>
      </c>
      <c r="H28" s="15">
        <v>0.125</v>
      </c>
      <c r="I28" t="s">
        <v>107</v>
      </c>
    </row>
    <row r="29" spans="1:9" ht="16" x14ac:dyDescent="0.2">
      <c r="A29" s="13" t="s">
        <v>109</v>
      </c>
      <c r="B29" s="12">
        <v>0.33500000000000002</v>
      </c>
      <c r="C29" t="s">
        <v>108</v>
      </c>
      <c r="D29" s="13" t="s">
        <v>109</v>
      </c>
      <c r="E29" s="14">
        <v>0.23499999999999999</v>
      </c>
      <c r="F29" t="s">
        <v>108</v>
      </c>
      <c r="G29" s="13" t="s">
        <v>109</v>
      </c>
      <c r="H29" s="15">
        <v>0.3</v>
      </c>
      <c r="I29" t="s">
        <v>108</v>
      </c>
    </row>
    <row r="30" spans="1:9" x14ac:dyDescent="0.2">
      <c r="A30" t="s">
        <v>110</v>
      </c>
      <c r="B30" s="12">
        <v>0.55000000000000004</v>
      </c>
      <c r="C30" t="s">
        <v>111</v>
      </c>
      <c r="D30" t="s">
        <v>110</v>
      </c>
      <c r="E30" s="14">
        <v>0.35</v>
      </c>
      <c r="F30" t="s">
        <v>111</v>
      </c>
      <c r="G30" t="s">
        <v>110</v>
      </c>
      <c r="H30" s="15">
        <v>0.65</v>
      </c>
      <c r="I30" t="s">
        <v>111</v>
      </c>
    </row>
    <row r="31" spans="1:9" x14ac:dyDescent="0.2">
      <c r="A31" t="s">
        <v>112</v>
      </c>
      <c r="B31" s="12">
        <v>0.08</v>
      </c>
      <c r="C31" t="s">
        <v>113</v>
      </c>
      <c r="D31" t="s">
        <v>112</v>
      </c>
      <c r="E31" s="14">
        <v>4.4999999999999998E-2</v>
      </c>
      <c r="F31" t="s">
        <v>113</v>
      </c>
      <c r="G31" t="s">
        <v>112</v>
      </c>
      <c r="H31" s="15">
        <v>0.1</v>
      </c>
      <c r="I31" t="s">
        <v>113</v>
      </c>
    </row>
    <row r="32" spans="1:9" x14ac:dyDescent="0.2">
      <c r="A32" s="18" t="s">
        <v>131</v>
      </c>
      <c r="B32" s="18"/>
      <c r="C32" s="18"/>
      <c r="D32" s="18"/>
      <c r="E32" s="18"/>
      <c r="F32" s="18"/>
      <c r="G32" s="18"/>
      <c r="H32" s="18"/>
      <c r="I32" s="18"/>
    </row>
    <row r="33" spans="1:9" ht="18" customHeight="1" x14ac:dyDescent="0.2">
      <c r="A33" s="18" t="s">
        <v>133</v>
      </c>
      <c r="B33" s="18"/>
      <c r="C33" s="18"/>
      <c r="D33" s="18" t="s">
        <v>134</v>
      </c>
      <c r="E33" s="18"/>
      <c r="F33" s="18"/>
      <c r="G33" s="18" t="s">
        <v>135</v>
      </c>
      <c r="H33" s="18"/>
      <c r="I33" s="18"/>
    </row>
    <row r="34" spans="1:9" ht="16" x14ac:dyDescent="0.2">
      <c r="A34" s="13" t="s">
        <v>106</v>
      </c>
      <c r="B34" s="12">
        <v>0.125</v>
      </c>
      <c r="C34" t="s">
        <v>107</v>
      </c>
      <c r="D34" s="13" t="s">
        <v>106</v>
      </c>
      <c r="E34" s="14">
        <v>0.12</v>
      </c>
      <c r="F34" t="s">
        <v>107</v>
      </c>
      <c r="G34" s="13" t="s">
        <v>106</v>
      </c>
      <c r="H34" s="15">
        <v>0.125</v>
      </c>
      <c r="I34" t="s">
        <v>107</v>
      </c>
    </row>
    <row r="35" spans="1:9" ht="16" x14ac:dyDescent="0.2">
      <c r="A35" s="13" t="s">
        <v>109</v>
      </c>
      <c r="B35" s="12">
        <v>0.33</v>
      </c>
      <c r="C35" t="s">
        <v>108</v>
      </c>
      <c r="D35" s="13" t="s">
        <v>109</v>
      </c>
      <c r="E35" s="14">
        <v>0.23</v>
      </c>
      <c r="F35" t="s">
        <v>108</v>
      </c>
      <c r="G35" s="13" t="s">
        <v>109</v>
      </c>
      <c r="H35" s="15">
        <v>0.25</v>
      </c>
      <c r="I35" t="s">
        <v>108</v>
      </c>
    </row>
    <row r="36" spans="1:9" x14ac:dyDescent="0.2">
      <c r="A36" t="s">
        <v>110</v>
      </c>
      <c r="B36" s="12">
        <v>0.55000000000000004</v>
      </c>
      <c r="C36" t="s">
        <v>111</v>
      </c>
      <c r="D36" t="s">
        <v>110</v>
      </c>
      <c r="E36" s="14">
        <v>0.35</v>
      </c>
      <c r="F36" t="s">
        <v>111</v>
      </c>
      <c r="G36" t="s">
        <v>110</v>
      </c>
      <c r="H36" s="15">
        <v>0.65</v>
      </c>
      <c r="I36" t="s">
        <v>111</v>
      </c>
    </row>
    <row r="37" spans="1:9" x14ac:dyDescent="0.2">
      <c r="A37" t="s">
        <v>112</v>
      </c>
      <c r="B37" s="12">
        <v>7.0000000000000007E-2</v>
      </c>
      <c r="C37" t="s">
        <v>113</v>
      </c>
      <c r="D37" t="s">
        <v>112</v>
      </c>
      <c r="E37" s="14">
        <v>3.5000000000000003E-2</v>
      </c>
      <c r="F37" t="s">
        <v>113</v>
      </c>
      <c r="G37" t="s">
        <v>112</v>
      </c>
      <c r="H37" s="15">
        <v>0.1</v>
      </c>
      <c r="I37" t="s">
        <v>113</v>
      </c>
    </row>
    <row r="38" spans="1:9" x14ac:dyDescent="0.2">
      <c r="A38" s="18" t="s">
        <v>132</v>
      </c>
      <c r="B38" s="18"/>
      <c r="C38" s="18"/>
      <c r="D38" s="18"/>
      <c r="E38" s="18"/>
      <c r="F38" s="18"/>
      <c r="G38" s="18"/>
      <c r="H38" s="18"/>
      <c r="I38" s="18"/>
    </row>
    <row r="39" spans="1:9" ht="18" customHeight="1" x14ac:dyDescent="0.2">
      <c r="A39" s="18" t="s">
        <v>133</v>
      </c>
      <c r="B39" s="18"/>
      <c r="C39" s="18"/>
      <c r="D39" s="18" t="s">
        <v>134</v>
      </c>
      <c r="E39" s="18"/>
      <c r="F39" s="18"/>
      <c r="G39" s="18" t="s">
        <v>135</v>
      </c>
      <c r="H39" s="18"/>
      <c r="I39" s="18"/>
    </row>
    <row r="40" spans="1:9" ht="16" x14ac:dyDescent="0.2">
      <c r="A40" s="13" t="s">
        <v>106</v>
      </c>
      <c r="B40" s="12">
        <v>0.1</v>
      </c>
      <c r="C40" t="s">
        <v>107</v>
      </c>
      <c r="D40" s="13" t="s">
        <v>106</v>
      </c>
      <c r="E40" s="14">
        <v>0.12</v>
      </c>
      <c r="F40" t="s">
        <v>107</v>
      </c>
      <c r="G40" s="13" t="s">
        <v>106</v>
      </c>
      <c r="H40" s="15">
        <v>0.125</v>
      </c>
      <c r="I40" t="s">
        <v>107</v>
      </c>
    </row>
    <row r="41" spans="1:9" ht="16" x14ac:dyDescent="0.2">
      <c r="A41" s="13" t="s">
        <v>109</v>
      </c>
      <c r="B41" s="12">
        <v>0.32500000000000001</v>
      </c>
      <c r="C41" t="s">
        <v>108</v>
      </c>
      <c r="D41" s="13" t="s">
        <v>109</v>
      </c>
      <c r="E41" s="14">
        <v>0.22500000000000001</v>
      </c>
      <c r="F41" t="s">
        <v>108</v>
      </c>
      <c r="G41" s="13" t="s">
        <v>109</v>
      </c>
      <c r="H41" s="15">
        <v>0.2</v>
      </c>
      <c r="I41" t="s">
        <v>108</v>
      </c>
    </row>
    <row r="42" spans="1:9" x14ac:dyDescent="0.2">
      <c r="A42" t="s">
        <v>110</v>
      </c>
      <c r="B42" s="12">
        <v>0.55000000000000004</v>
      </c>
      <c r="C42" t="s">
        <v>111</v>
      </c>
      <c r="D42" t="s">
        <v>110</v>
      </c>
      <c r="E42" s="14">
        <v>0.35</v>
      </c>
      <c r="F42" t="s">
        <v>111</v>
      </c>
      <c r="G42" t="s">
        <v>110</v>
      </c>
      <c r="H42" s="15">
        <v>0.65</v>
      </c>
      <c r="I42" t="s">
        <v>111</v>
      </c>
    </row>
    <row r="43" spans="1:9" x14ac:dyDescent="0.2">
      <c r="A43" t="s">
        <v>112</v>
      </c>
      <c r="B43" s="12">
        <v>7.0000000000000007E-2</v>
      </c>
      <c r="C43" t="s">
        <v>113</v>
      </c>
      <c r="D43" t="s">
        <v>112</v>
      </c>
      <c r="E43" s="14">
        <v>3.5000000000000003E-2</v>
      </c>
      <c r="F43" t="s">
        <v>113</v>
      </c>
      <c r="G43" t="s">
        <v>112</v>
      </c>
      <c r="H43" s="15">
        <v>0.1</v>
      </c>
      <c r="I43" t="s">
        <v>113</v>
      </c>
    </row>
    <row r="45" spans="1:9" x14ac:dyDescent="0.2">
      <c r="A45" s="18" t="s">
        <v>126</v>
      </c>
      <c r="B45" s="18"/>
      <c r="C45" s="18"/>
    </row>
    <row r="46" spans="1:9" x14ac:dyDescent="0.2">
      <c r="A46" t="s">
        <v>114</v>
      </c>
      <c r="B46" s="16">
        <v>0.1</v>
      </c>
      <c r="C46" t="s">
        <v>115</v>
      </c>
    </row>
    <row r="47" spans="1:9" x14ac:dyDescent="0.2">
      <c r="A47" t="s">
        <v>116</v>
      </c>
      <c r="B47" s="16">
        <v>0.02</v>
      </c>
      <c r="C47" t="s">
        <v>117</v>
      </c>
    </row>
    <row r="48" spans="1:9" x14ac:dyDescent="0.2">
      <c r="A48" t="s">
        <v>118</v>
      </c>
      <c r="B48" s="16">
        <v>0.03</v>
      </c>
      <c r="C48" t="s">
        <v>119</v>
      </c>
    </row>
    <row r="49" spans="1:3" x14ac:dyDescent="0.2">
      <c r="A49" t="s">
        <v>120</v>
      </c>
      <c r="B49" s="16">
        <v>0.1</v>
      </c>
      <c r="C49" t="s">
        <v>121</v>
      </c>
    </row>
    <row r="50" spans="1:3" x14ac:dyDescent="0.2">
      <c r="A50" t="s">
        <v>122</v>
      </c>
      <c r="B50" s="16">
        <v>0.15</v>
      </c>
      <c r="C50" t="s">
        <v>123</v>
      </c>
    </row>
    <row r="51" spans="1:3" x14ac:dyDescent="0.2">
      <c r="A51" t="s">
        <v>124</v>
      </c>
      <c r="B51" s="16">
        <v>0.15</v>
      </c>
      <c r="C51" t="s">
        <v>125</v>
      </c>
    </row>
  </sheetData>
  <mergeCells count="26">
    <mergeCell ref="G27:I27"/>
    <mergeCell ref="A33:C33"/>
    <mergeCell ref="D33:F33"/>
    <mergeCell ref="G33:I33"/>
    <mergeCell ref="A39:C39"/>
    <mergeCell ref="D39:F39"/>
    <mergeCell ref="G39:I39"/>
    <mergeCell ref="A6:A7"/>
    <mergeCell ref="A9:C9"/>
    <mergeCell ref="D9:F9"/>
    <mergeCell ref="A38:I38"/>
    <mergeCell ref="A45:C45"/>
    <mergeCell ref="A8:I8"/>
    <mergeCell ref="A14:I14"/>
    <mergeCell ref="A20:I20"/>
    <mergeCell ref="A26:I26"/>
    <mergeCell ref="A32:I32"/>
    <mergeCell ref="G9:I9"/>
    <mergeCell ref="A15:C15"/>
    <mergeCell ref="D15:F15"/>
    <mergeCell ref="G15:I15"/>
    <mergeCell ref="A21:C21"/>
    <mergeCell ref="D21:F21"/>
    <mergeCell ref="G21:I21"/>
    <mergeCell ref="A27:C27"/>
    <mergeCell ref="D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PRODUCTOS ENVASE</vt:lpstr>
      <vt:lpstr>FW1A</vt:lpstr>
      <vt:lpstr>SHE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2026-04-25T18:45:02Z</dcterms:modified>
</cp:coreProperties>
</file>